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20FE081-0E70-4054-A685-8FE5496E4935}" xr6:coauthVersionLast="47" xr6:coauthVersionMax="47" xr10:uidLastSave="{00000000-0000-0000-0000-000000000000}"/>
  <bookViews>
    <workbookView xWindow="-120" yWindow="-120" windowWidth="29040" windowHeight="15990" activeTab="1" xr2:uid="{20B3F2D1-AD37-4416-A21E-EED9DD489244}"/>
  </bookViews>
  <sheets>
    <sheet name="Laba Rugi" sheetId="1" r:id="rId1"/>
    <sheet name="Nerac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6" i="2" l="1"/>
  <c r="C112" i="2"/>
  <c r="C92" i="2"/>
  <c r="C87" i="2"/>
  <c r="C77" i="2"/>
  <c r="C75" i="2" s="1"/>
  <c r="C74" i="2" s="1"/>
  <c r="C122" i="2" s="1"/>
  <c r="C68" i="2"/>
  <c r="C60" i="2"/>
  <c r="C54" i="2"/>
  <c r="C51" i="2"/>
  <c r="C44" i="2"/>
  <c r="C38" i="2"/>
  <c r="C34" i="2"/>
  <c r="C31" i="2"/>
  <c r="C26" i="2"/>
  <c r="C22" i="2"/>
  <c r="C21" i="2" s="1"/>
  <c r="C20" i="2" s="1"/>
  <c r="C18" i="2"/>
  <c r="C12" i="2"/>
  <c r="C8" i="2"/>
  <c r="C7" i="2" s="1"/>
  <c r="C6" i="2" s="1"/>
  <c r="C127" i="1"/>
  <c r="C128" i="1"/>
  <c r="C120" i="1"/>
  <c r="C113" i="1"/>
  <c r="C101" i="1"/>
  <c r="C106" i="1"/>
  <c r="C94" i="1"/>
  <c r="C88" i="1"/>
  <c r="C79" i="1"/>
  <c r="C72" i="1"/>
  <c r="C67" i="1"/>
  <c r="C61" i="1"/>
  <c r="C54" i="1"/>
  <c r="C47" i="1"/>
  <c r="C46" i="1" s="1"/>
  <c r="C33" i="1"/>
  <c r="C16" i="1"/>
  <c r="C27" i="1" s="1"/>
  <c r="C6" i="1"/>
  <c r="C14" i="1" s="1"/>
  <c r="C53" i="2" l="1"/>
  <c r="C5" i="2" s="1"/>
  <c r="C72" i="2" s="1"/>
  <c r="C100" i="1"/>
  <c r="C32" i="1"/>
  <c r="C108" i="1" s="1"/>
  <c r="C29" i="1"/>
  <c r="C109" i="1" l="1"/>
  <c r="C132" i="1" s="1"/>
</calcChain>
</file>

<file path=xl/sharedStrings.xml><?xml version="1.0" encoding="utf-8"?>
<sst xmlns="http://schemas.openxmlformats.org/spreadsheetml/2006/main" count="469" uniqueCount="464">
  <si>
    <t>LAPORAN LABA RUGI</t>
  </si>
  <si>
    <t>Dari 1 September 2025 s/d 30 September 2025</t>
  </si>
  <si>
    <t>Deskripsi</t>
  </si>
  <si>
    <t>4000</t>
  </si>
  <si>
    <t>PENJUALAN</t>
  </si>
  <si>
    <t>4100</t>
  </si>
  <si>
    <t>PENJUALAN BARANG DAGANGAN</t>
  </si>
  <si>
    <t>4110</t>
  </si>
  <si>
    <t>POTONGAN PENJUALAN BARANG DAGANGAN</t>
  </si>
  <si>
    <t>4120</t>
  </si>
  <si>
    <t>RETUR PENJUALAN BARANG DAGANGAN</t>
  </si>
  <si>
    <t>4200</t>
  </si>
  <si>
    <t>PENJUALAN BARANG PRODUKSI</t>
  </si>
  <si>
    <t>4210</t>
  </si>
  <si>
    <t>POTONGAN PENJUALAN BARANG PRODUKSI</t>
  </si>
  <si>
    <t>4220</t>
  </si>
  <si>
    <t>RETUR PENJUALAN BARANG PRODUKSI</t>
  </si>
  <si>
    <t>TOTAL PENDAPATAN</t>
  </si>
  <si>
    <t>5000</t>
  </si>
  <si>
    <t>HPP</t>
  </si>
  <si>
    <t>5100</t>
  </si>
  <si>
    <t>HPP / HARGA POKOK PEMBELIAN BARANG DAGANGAN</t>
  </si>
  <si>
    <t>5110</t>
  </si>
  <si>
    <t>POTONGAN PEMBELIAN BARANG DAGANGAN</t>
  </si>
  <si>
    <t>5120</t>
  </si>
  <si>
    <t>RETUR PEMBELIAN BARANG DAGANGAN</t>
  </si>
  <si>
    <t>5130</t>
  </si>
  <si>
    <t>BEA MASUK</t>
  </si>
  <si>
    <t>5200</t>
  </si>
  <si>
    <t>HPP / HARGA POKOK PEMBELIAN BARANG PRODUKSI</t>
  </si>
  <si>
    <t>5210</t>
  </si>
  <si>
    <t>5220</t>
  </si>
  <si>
    <t>5230</t>
  </si>
  <si>
    <t>BIAYA TENAGA KERJA PROSES PRODUKSI</t>
  </si>
  <si>
    <t>5240</t>
  </si>
  <si>
    <t>BIAYA TENAGA KERJA LUAR PROSES PRODUKSI</t>
  </si>
  <si>
    <t>LABA KOTOR</t>
  </si>
  <si>
    <t>TOTAL HPP</t>
  </si>
  <si>
    <t>6000</t>
  </si>
  <si>
    <t>BIAYA</t>
  </si>
  <si>
    <t>6100</t>
  </si>
  <si>
    <t>BIAYA PENJUALAN</t>
  </si>
  <si>
    <t>6100.01</t>
  </si>
  <si>
    <t>BIAYA PACKING</t>
  </si>
  <si>
    <t>6100.02</t>
  </si>
  <si>
    <t>BIAYA PENGIRIMAN / PENGANGKUTAN</t>
  </si>
  <si>
    <t>6100.03</t>
  </si>
  <si>
    <t>BIAYA BONGKAR MUAT</t>
  </si>
  <si>
    <t>6100.04</t>
  </si>
  <si>
    <t>BIAYA TRANSPORTASI / PERJALANAN DINAS</t>
  </si>
  <si>
    <t>6100.05</t>
  </si>
  <si>
    <t>BIAYA BAHAN BAKAR</t>
  </si>
  <si>
    <t>6100.06</t>
  </si>
  <si>
    <t>BIAYA PARKIR &amp; TOL</t>
  </si>
  <si>
    <t>6100.07</t>
  </si>
  <si>
    <t>BIAYA PROMOSI PENJUALAN</t>
  </si>
  <si>
    <t>6100.08</t>
  </si>
  <si>
    <t>BIAYA ENTERTAINMENT</t>
  </si>
  <si>
    <t>6100.09</t>
  </si>
  <si>
    <t>BIAYA PENJUALAN LAINNYA</t>
  </si>
  <si>
    <t>6100.10</t>
  </si>
  <si>
    <t>BIAYA KOMISI PENJUALAN</t>
  </si>
  <si>
    <t>6100.11</t>
  </si>
  <si>
    <t>BIAYA PIUTANG TIDAK TERTAGIH</t>
  </si>
  <si>
    <t>6100.12</t>
  </si>
  <si>
    <t>BIAYA ALAT PERKAKAS DAN PROSES</t>
  </si>
  <si>
    <t>6200</t>
  </si>
  <si>
    <t>BIAYA ADM &amp; UMUM</t>
  </si>
  <si>
    <t>6210</t>
  </si>
  <si>
    <t>BIAYA KARYAWAN</t>
  </si>
  <si>
    <t>6210.01</t>
  </si>
  <si>
    <t>BIAYA GAJI</t>
  </si>
  <si>
    <t>6210.02</t>
  </si>
  <si>
    <t>BIAYA THR</t>
  </si>
  <si>
    <t>6210.03</t>
  </si>
  <si>
    <t>BIAYA PESANGON</t>
  </si>
  <si>
    <t>6210.04</t>
  </si>
  <si>
    <t>BIAYA UANG MAKAN</t>
  </si>
  <si>
    <t>6210.05</t>
  </si>
  <si>
    <t>BIAYA PENGOBATAN</t>
  </si>
  <si>
    <t>6210.06</t>
  </si>
  <si>
    <t>BIAYA KARYAWAN LAINNYA</t>
  </si>
  <si>
    <t>6220</t>
  </si>
  <si>
    <t>BIAYA ASURANSI</t>
  </si>
  <si>
    <t>6220.01</t>
  </si>
  <si>
    <t>BIAYA ASURANSI KESEHATAN</t>
  </si>
  <si>
    <t>6220.02</t>
  </si>
  <si>
    <t>BIAYA ASURANSI KENDARAAN</t>
  </si>
  <si>
    <t>6220.03</t>
  </si>
  <si>
    <t>BIAYA ASURANSI KANTOR / GEDUNG / GUDANG</t>
  </si>
  <si>
    <t>6220.04</t>
  </si>
  <si>
    <t>BIAYA BPJS KESEHATAN</t>
  </si>
  <si>
    <t>6220.05</t>
  </si>
  <si>
    <t>BIAYA BPJS TENAGA KERJA</t>
  </si>
  <si>
    <t>6220.06</t>
  </si>
  <si>
    <t>BIAYA ASURANSI LAINNYA</t>
  </si>
  <si>
    <t>6230</t>
  </si>
  <si>
    <t>BIAYA SEWA</t>
  </si>
  <si>
    <t>6230.01</t>
  </si>
  <si>
    <t>BIAYA SEWA KANTOR / GEDUNG / GUDANG</t>
  </si>
  <si>
    <t>6230.02</t>
  </si>
  <si>
    <t>BIAYA SEWA KENDARAAN</t>
  </si>
  <si>
    <t>6230.03</t>
  </si>
  <si>
    <t>BIAYA SEWA MESIN FOTOCOPY</t>
  </si>
  <si>
    <t>6230.04</t>
  </si>
  <si>
    <t>BIAYA SEWA MESIN</t>
  </si>
  <si>
    <t>6230.05</t>
  </si>
  <si>
    <t>BIAYA SEWA LAINNYA</t>
  </si>
  <si>
    <t>6240</t>
  </si>
  <si>
    <t>BIAYA LGAT</t>
  </si>
  <si>
    <t>6240.01</t>
  </si>
  <si>
    <t>BIAYA LISTRIK</t>
  </si>
  <si>
    <t>6240.02</t>
  </si>
  <si>
    <t>BIAYA TELEPON</t>
  </si>
  <si>
    <t>6240.03</t>
  </si>
  <si>
    <t>BIAYA AIR PDAM</t>
  </si>
  <si>
    <t>6240.04</t>
  </si>
  <si>
    <t>BIAYA INTERNET</t>
  </si>
  <si>
    <t>6250</t>
  </si>
  <si>
    <t>BIAYA PERLENGKAPAN KANTOR</t>
  </si>
  <si>
    <t>6250.01</t>
  </si>
  <si>
    <t>BIAYA ATK</t>
  </si>
  <si>
    <t>6250.02</t>
  </si>
  <si>
    <t>BIAYA FOTOCOPY</t>
  </si>
  <si>
    <t>6250.03</t>
  </si>
  <si>
    <t>BIAYA PERCETAKAN</t>
  </si>
  <si>
    <t>6250.04</t>
  </si>
  <si>
    <t>BIAYA METERAI /  BENDA POS</t>
  </si>
  <si>
    <t>6250.05</t>
  </si>
  <si>
    <t>BIAYA PERLENGKAPAN KANTOR LAINNYA</t>
  </si>
  <si>
    <t>6250.06</t>
  </si>
  <si>
    <t>BIAYA SISTEM TEKNOLOGI DAN IT</t>
  </si>
  <si>
    <t>6260</t>
  </si>
  <si>
    <t>BIAYA KEPERLUAN KANTOR</t>
  </si>
  <si>
    <t>6260.01</t>
  </si>
  <si>
    <t>BIAYA KIRIM DOKUMEN</t>
  </si>
  <si>
    <t>6260.02</t>
  </si>
  <si>
    <t>BIAYA RUMAH TANGGA KANTOR</t>
  </si>
  <si>
    <t>6260.03</t>
  </si>
  <si>
    <t>BIAYA PERBAIKAN / PEMELIHARAAN KANTOR / GEDUNG / GUDANG</t>
  </si>
  <si>
    <t>6260.04</t>
  </si>
  <si>
    <t>BIAYA PERBAIKAN / PEMELIHARAAN KENDARAAN</t>
  </si>
  <si>
    <t>6260.05</t>
  </si>
  <si>
    <t>BIAYA PERBAIKAN / PEMELIHARAAN INVENTARIS KANTOR</t>
  </si>
  <si>
    <t>6260.06</t>
  </si>
  <si>
    <t>BIAYA KEAMANAN DAN KEBERSIHAN</t>
  </si>
  <si>
    <t>6260.07</t>
  </si>
  <si>
    <t>BIAYA KIR / PAJAK / STNK</t>
  </si>
  <si>
    <t>6260.08</t>
  </si>
  <si>
    <t>BIAYA KEPERLUAN KANTOR LAINNYA</t>
  </si>
  <si>
    <t>6270</t>
  </si>
  <si>
    <t>BIAYA JASA KHUSUS</t>
  </si>
  <si>
    <t>6270.01</t>
  </si>
  <si>
    <t>BIAYA NOTARIS</t>
  </si>
  <si>
    <t>6270.02</t>
  </si>
  <si>
    <t>BIAYA APPRAISAL / PENILAI</t>
  </si>
  <si>
    <t>6270.03</t>
  </si>
  <si>
    <t>BIAYA KONSULTAN</t>
  </si>
  <si>
    <t>6270.04</t>
  </si>
  <si>
    <t>BIAYA JASA KHUSUS LAINNYA</t>
  </si>
  <si>
    <t>6270.05</t>
  </si>
  <si>
    <t>BIAYA AUDITOR</t>
  </si>
  <si>
    <t>6280</t>
  </si>
  <si>
    <t>BIAYA ADMINISTRASI UMUM LAINNYA</t>
  </si>
  <si>
    <t>6280.01</t>
  </si>
  <si>
    <t>BIAYA PAJAK</t>
  </si>
  <si>
    <t>6280.02</t>
  </si>
  <si>
    <t>BIAYA SUMBANGAN</t>
  </si>
  <si>
    <t>6280.03</t>
  </si>
  <si>
    <t>BIAYA PBB</t>
  </si>
  <si>
    <t>6280.04</t>
  </si>
  <si>
    <t>BIAYA IMBALAN PASCA KERJA</t>
  </si>
  <si>
    <t>6280.05</t>
  </si>
  <si>
    <t>BIAYA ADM UMUM LAINNYA</t>
  </si>
  <si>
    <t>6300</t>
  </si>
  <si>
    <t>BIAYA PENYUSUTAN DAN AMORTISASI</t>
  </si>
  <si>
    <t>6310</t>
  </si>
  <si>
    <t>BIAYA PENYUSUTAN ASET TETAP</t>
  </si>
  <si>
    <t>6311</t>
  </si>
  <si>
    <t>BIAYA PENYUSUTAN PERALATAN KANTOR (OE)</t>
  </si>
  <si>
    <t>6312</t>
  </si>
  <si>
    <t>BIAYA PENYUSUTAN PERLENGKAPAN KANTOR (OE)</t>
  </si>
  <si>
    <t>6313</t>
  </si>
  <si>
    <t>BIAYA PENYUSUTAN KENDARAAN</t>
  </si>
  <si>
    <t>6314</t>
  </si>
  <si>
    <t>BIAYA PENYUSUTAN BANGUNAN</t>
  </si>
  <si>
    <t>6320</t>
  </si>
  <si>
    <t>BIAYA AMORTISASI</t>
  </si>
  <si>
    <t>6320.01</t>
  </si>
  <si>
    <t>BIAYA AMORTISASI LAINNYA</t>
  </si>
  <si>
    <t>BIAYA OPERASIONAL</t>
  </si>
  <si>
    <t>TOTAL BIAYA OPERASIONAL</t>
  </si>
  <si>
    <t>PENDAPATAN OPERASIONAL</t>
  </si>
  <si>
    <t>1 - 30 Sept 2025</t>
  </si>
  <si>
    <t>PENDAPATAN DAN BEBAN NON OPERASIONAL</t>
  </si>
  <si>
    <t xml:space="preserve"> Pendapatan Non Operasional</t>
  </si>
  <si>
    <t>7000</t>
  </si>
  <si>
    <t>PENDAPATAN DILUAR USAHA</t>
  </si>
  <si>
    <t>7000.01</t>
  </si>
  <si>
    <t>PENDAPATAN BUNGA JASA GIRO</t>
  </si>
  <si>
    <t>7000.02</t>
  </si>
  <si>
    <t>PENDAPATAN BUNGA DEPOSITO</t>
  </si>
  <si>
    <t>7000.03</t>
  </si>
  <si>
    <t>PENDAPATAN ATAS PENJUALAN AKTIVA</t>
  </si>
  <si>
    <t>7000.04</t>
  </si>
  <si>
    <t>PENDAPATAN LAINNYA</t>
  </si>
  <si>
    <t>7000.05</t>
  </si>
  <si>
    <t>PENDAPATAN HADIAH / UNDIAN</t>
  </si>
  <si>
    <t xml:space="preserve"> Beban Non Operasional</t>
  </si>
  <si>
    <t>8000</t>
  </si>
  <si>
    <t>BIAYA DILUAR USAHA</t>
  </si>
  <si>
    <t>8000.01</t>
  </si>
  <si>
    <t>BIAYA ADMINISTRASI BANK</t>
  </si>
  <si>
    <t>8000.02</t>
  </si>
  <si>
    <t>BIAYA PAJAK BUNGA JASA GIRO</t>
  </si>
  <si>
    <t>8000.03</t>
  </si>
  <si>
    <t>BIAYA PAJAK BUNGA DEPOSITO</t>
  </si>
  <si>
    <t>8000.04</t>
  </si>
  <si>
    <t>BIAYA BUNGA PINJAMAN</t>
  </si>
  <si>
    <t>8000.05</t>
  </si>
  <si>
    <t>BIAYA LAINNYA</t>
  </si>
  <si>
    <t>8000.06</t>
  </si>
  <si>
    <t>BIAYA PAJAK HADIAH / UNDIAN</t>
  </si>
  <si>
    <t>9000</t>
  </si>
  <si>
    <t>LAINNYA</t>
  </si>
  <si>
    <t>9000.01</t>
  </si>
  <si>
    <t>SELISIH KURS</t>
  </si>
  <si>
    <t>9000.02</t>
  </si>
  <si>
    <t>PEMBULATAN</t>
  </si>
  <si>
    <t>PENDAPATAN NON OPERASIONAL</t>
  </si>
  <si>
    <t>LABA BERSIH</t>
  </si>
  <si>
    <t>PT. DUTA TUNGGAL</t>
  </si>
  <si>
    <t>1000</t>
  </si>
  <si>
    <t>AKTIVA</t>
  </si>
  <si>
    <t>1100</t>
  </si>
  <si>
    <t>AKTIVA LANCAR</t>
  </si>
  <si>
    <t>1110</t>
  </si>
  <si>
    <t>KAS DAN SETARA KAS</t>
  </si>
  <si>
    <t>1111</t>
  </si>
  <si>
    <t>KAS</t>
  </si>
  <si>
    <t>1111.01</t>
  </si>
  <si>
    <t>KAS BESAR</t>
  </si>
  <si>
    <t>1111.02</t>
  </si>
  <si>
    <t>KAS KECIL</t>
  </si>
  <si>
    <t>1111.03</t>
  </si>
  <si>
    <t>KAS PENJUALAN</t>
  </si>
  <si>
    <t>1112</t>
  </si>
  <si>
    <t>BANK</t>
  </si>
  <si>
    <t>1112.01</t>
  </si>
  <si>
    <t>BANK BCA</t>
  </si>
  <si>
    <t>1112.02</t>
  </si>
  <si>
    <t>BANK MANDIRI</t>
  </si>
  <si>
    <t>1112.03</t>
  </si>
  <si>
    <t>BANK PANIN (IDR) - 2197</t>
  </si>
  <si>
    <t>1112.04</t>
  </si>
  <si>
    <t>BANK PANIN (IDR) - 2297</t>
  </si>
  <si>
    <t>1112.05</t>
  </si>
  <si>
    <t xml:space="preserve">BANK PANIN (USD) </t>
  </si>
  <si>
    <t>1113</t>
  </si>
  <si>
    <t>DEPOSITO</t>
  </si>
  <si>
    <t>1113.01</t>
  </si>
  <si>
    <t>DEPOSITO BANK PANIN</t>
  </si>
  <si>
    <t>1120</t>
  </si>
  <si>
    <t>PIUTANG DAGANG</t>
  </si>
  <si>
    <t>1121</t>
  </si>
  <si>
    <t>PIUTANG MARKET PLACE</t>
  </si>
  <si>
    <t>1121.01</t>
  </si>
  <si>
    <t>PIUTANG TOKOPEDIA</t>
  </si>
  <si>
    <t>1121.02</t>
  </si>
  <si>
    <t>PIUTANG SHOPEE</t>
  </si>
  <si>
    <t>1121.03</t>
  </si>
  <si>
    <t>PIUTANG BUKALAPAK</t>
  </si>
  <si>
    <t>1122</t>
  </si>
  <si>
    <t>PIUTANG GIRO MUNDUR</t>
  </si>
  <si>
    <t>1130</t>
  </si>
  <si>
    <t>PIUTANG LAIN-LAIN</t>
  </si>
  <si>
    <t>1130.01</t>
  </si>
  <si>
    <t>PIUTANG KARYAWAN</t>
  </si>
  <si>
    <t>1130.02</t>
  </si>
  <si>
    <t>PIUTANG PIHAK KE TIGA</t>
  </si>
  <si>
    <t>1130.03</t>
  </si>
  <si>
    <t>PIUTANG PEMEGANG SAHAM</t>
  </si>
  <si>
    <t>1130.04</t>
  </si>
  <si>
    <t>1140</t>
  </si>
  <si>
    <t>PERSEDIAAN</t>
  </si>
  <si>
    <t>1140.01</t>
  </si>
  <si>
    <t>PERSEDIAAN BARANG DAGANGAN</t>
  </si>
  <si>
    <t>1140.02</t>
  </si>
  <si>
    <t>PERSEDIAAN BARANG PRODUKSI</t>
  </si>
  <si>
    <t>1150</t>
  </si>
  <si>
    <t>UANG MUKA</t>
  </si>
  <si>
    <t>1150.01</t>
  </si>
  <si>
    <t>UANG MUKA PEMBELIAN BARANG DAGANG</t>
  </si>
  <si>
    <t>1150.02</t>
  </si>
  <si>
    <t>UANG MUKA PEMBELIAN NON BARANG DAGANG</t>
  </si>
  <si>
    <t>1150.03</t>
  </si>
  <si>
    <t>UANG MUKA LAINNYA</t>
  </si>
  <si>
    <t>1160</t>
  </si>
  <si>
    <t>BIAYA DIBAYAR DIMUKA</t>
  </si>
  <si>
    <t>1160.01</t>
  </si>
  <si>
    <t>SEWA DIBAYAR DIMUKA</t>
  </si>
  <si>
    <t>1160.02</t>
  </si>
  <si>
    <t>ASURANSI DIBAYAR DIMUKA</t>
  </si>
  <si>
    <t>1160.03</t>
  </si>
  <si>
    <t>THR DIBAYAR DIMUKA</t>
  </si>
  <si>
    <t>1160.04</t>
  </si>
  <si>
    <t>PERBAIKAN DIBAYAR DIMUKA</t>
  </si>
  <si>
    <t>1160.05</t>
  </si>
  <si>
    <t>BIAYA DIBAYAR DIMUKA LAINNYA</t>
  </si>
  <si>
    <t>1170</t>
  </si>
  <si>
    <t>PAJAK DIBAYAR DIMUKA</t>
  </si>
  <si>
    <t>1170.01</t>
  </si>
  <si>
    <t>PPH 21</t>
  </si>
  <si>
    <t>1170.02</t>
  </si>
  <si>
    <t>PPH 22</t>
  </si>
  <si>
    <t>1170.03</t>
  </si>
  <si>
    <t>PPH 23</t>
  </si>
  <si>
    <t>1170.04</t>
  </si>
  <si>
    <t>PPH 4 (2)</t>
  </si>
  <si>
    <t>1170.05</t>
  </si>
  <si>
    <t>PPH 25</t>
  </si>
  <si>
    <t>1170.06</t>
  </si>
  <si>
    <t>PPN MASUKAN</t>
  </si>
  <si>
    <t>1180</t>
  </si>
  <si>
    <t>AKTIVA LANCAR LAINNYA</t>
  </si>
  <si>
    <t>1180.01</t>
  </si>
  <si>
    <t>BARANG DALAM PERJALANAN</t>
  </si>
  <si>
    <t>1200</t>
  </si>
  <si>
    <t>AKTIVA TETAP</t>
  </si>
  <si>
    <t>1210</t>
  </si>
  <si>
    <t>HARGA PEROLEHAN ASET TETAP</t>
  </si>
  <si>
    <t>1210.01</t>
  </si>
  <si>
    <t>PERALATAN KANTOR (OE)</t>
  </si>
  <si>
    <t>1210.02</t>
  </si>
  <si>
    <t>PERLENGKAPAN KANTOR (FF)</t>
  </si>
  <si>
    <t>1210.03</t>
  </si>
  <si>
    <t>KENDARAAN</t>
  </si>
  <si>
    <t>1210.04</t>
  </si>
  <si>
    <t>BANGUNAN</t>
  </si>
  <si>
    <t>1210.05</t>
  </si>
  <si>
    <t>TANAH</t>
  </si>
  <si>
    <t>1220</t>
  </si>
  <si>
    <t>AKUMULASI BIAYA PENYUSUTAN ASET TETAP</t>
  </si>
  <si>
    <t>1220.01</t>
  </si>
  <si>
    <t>AKUMULASI BIAYA PENYUSUTAN PERALATAN KANTOR (OE)</t>
  </si>
  <si>
    <t>1220.02</t>
  </si>
  <si>
    <t>AKUMULASI BIAYA PENYUSUTAN PERLENGKAPAN KANTOR (FF)</t>
  </si>
  <si>
    <t>1220.03</t>
  </si>
  <si>
    <t>AKUMULASI BIAYA PENYUSUTAN KENDARAAN</t>
  </si>
  <si>
    <t>1220.04</t>
  </si>
  <si>
    <t>AKUMULASI BIAYA PENYUSUTAN BANGUNAN</t>
  </si>
  <si>
    <t>1230</t>
  </si>
  <si>
    <t>ASET TA (TAX AMNESTY)</t>
  </si>
  <si>
    <t>1240</t>
  </si>
  <si>
    <t>PEMBANGUNAN DALAM PROSES</t>
  </si>
  <si>
    <t>1250</t>
  </si>
  <si>
    <t>AKTIVA TETAP LAINNYA</t>
  </si>
  <si>
    <t>1300</t>
  </si>
  <si>
    <t>AYAT SILANG</t>
  </si>
  <si>
    <t>1300.01</t>
  </si>
  <si>
    <t xml:space="preserve">AYAT SILANG KAS DAN KAS </t>
  </si>
  <si>
    <t>1300.02</t>
  </si>
  <si>
    <t>AYAT SILANG KAS DAN BANK</t>
  </si>
  <si>
    <t>1300.03</t>
  </si>
  <si>
    <t>AYAT SILANG BANK DAN BANK</t>
  </si>
  <si>
    <t>2000</t>
  </si>
  <si>
    <t>HUTANG</t>
  </si>
  <si>
    <t>2100</t>
  </si>
  <si>
    <t>HUTANG LANCAR</t>
  </si>
  <si>
    <t>2110</t>
  </si>
  <si>
    <t>HUTANG DAGANG</t>
  </si>
  <si>
    <t>2120</t>
  </si>
  <si>
    <t>HUTANG PAJAK</t>
  </si>
  <si>
    <t>2120.01</t>
  </si>
  <si>
    <t>HUTANG PPH 21</t>
  </si>
  <si>
    <t>2120.02</t>
  </si>
  <si>
    <t>HUTANG PPH 23</t>
  </si>
  <si>
    <t>2120.03</t>
  </si>
  <si>
    <t>HUTANG PPH 4 (2)</t>
  </si>
  <si>
    <t>2120.04</t>
  </si>
  <si>
    <t>HUTANG PPH 25</t>
  </si>
  <si>
    <t>2120.05</t>
  </si>
  <si>
    <t>HUTANG PPH 29</t>
  </si>
  <si>
    <t>2120.06</t>
  </si>
  <si>
    <t>PPN KELUARAN</t>
  </si>
  <si>
    <t>2130</t>
  </si>
  <si>
    <t>UANG MUKA PENJUALAN</t>
  </si>
  <si>
    <t>2140</t>
  </si>
  <si>
    <t>HUTANG BANK</t>
  </si>
  <si>
    <t>2150</t>
  </si>
  <si>
    <t>HUTANG LEASING</t>
  </si>
  <si>
    <t>2160</t>
  </si>
  <si>
    <t>HUTANG LAIN LAIN</t>
  </si>
  <si>
    <t>2160.01</t>
  </si>
  <si>
    <t>HUTANG KARYAWAN</t>
  </si>
  <si>
    <t>2160.02</t>
  </si>
  <si>
    <t>HUTANG PIHAK KE TIGA</t>
  </si>
  <si>
    <t>2160.03</t>
  </si>
  <si>
    <t>HUTANG PEMEGANG SAHAM</t>
  </si>
  <si>
    <t>2160.04</t>
  </si>
  <si>
    <t>HUTANG TITIPAN KONSUMEN</t>
  </si>
  <si>
    <t>2170</t>
  </si>
  <si>
    <t>BIAYA YANG MASIH HARUS DIBAYAR</t>
  </si>
  <si>
    <t>2170.01</t>
  </si>
  <si>
    <t>BIAYA YMHDB - PENGIRIMAN / PENGANGKUTAN</t>
  </si>
  <si>
    <t>2170.02</t>
  </si>
  <si>
    <t>BIAYA YMHDB - BONGKAR MUAT</t>
  </si>
  <si>
    <t>2170.03</t>
  </si>
  <si>
    <t>BIAYA YMHDB - TRANSPORTASI / PERJALANAN DINAS</t>
  </si>
  <si>
    <t>2170.04</t>
  </si>
  <si>
    <t>BIAYA YMHDB - PROMOSI PENJUALAN</t>
  </si>
  <si>
    <t>2170.05</t>
  </si>
  <si>
    <t>BIAYA YMHDB - KOMISI PENJUALAN</t>
  </si>
  <si>
    <t>2170.06</t>
  </si>
  <si>
    <t>BIAYA YMHDB - ALAT PERKAKAS DAN PROSES</t>
  </si>
  <si>
    <t>2170.07</t>
  </si>
  <si>
    <t>BIAYA YMHDB - GAJI</t>
  </si>
  <si>
    <t>2170.08</t>
  </si>
  <si>
    <t>BIAYA YMHDB - THR</t>
  </si>
  <si>
    <t>2170.09</t>
  </si>
  <si>
    <t>BIAYA YMHDB - BPJS</t>
  </si>
  <si>
    <t>2170.10</t>
  </si>
  <si>
    <t>BIAYA YMHDB - SEWA</t>
  </si>
  <si>
    <t>2170.11</t>
  </si>
  <si>
    <t>BIAYA YMHDB - ASURANSI</t>
  </si>
  <si>
    <t>2170.12</t>
  </si>
  <si>
    <t>BIAYA YMHDB - SISTEM TEKNOLOGI DAN IT</t>
  </si>
  <si>
    <t>2170.13</t>
  </si>
  <si>
    <t>BIAYA YMHDB - KEPERLUAN KANTOR</t>
  </si>
  <si>
    <t>2170.14</t>
  </si>
  <si>
    <t>BIAYA YMHDB - PERBAIKAN / PEMELIHARAAN</t>
  </si>
  <si>
    <t>2170.15</t>
  </si>
  <si>
    <t>BIAYA YMHDB - NOTARIS</t>
  </si>
  <si>
    <t>2170.16</t>
  </si>
  <si>
    <t>BIAYA YMHDB - KONSULTAN</t>
  </si>
  <si>
    <t>2170.17</t>
  </si>
  <si>
    <t>BIAYA YMHDB - AUDITOR</t>
  </si>
  <si>
    <t>2170.18</t>
  </si>
  <si>
    <t>BIAYA YMHDB - BUNGA PINJAMAN</t>
  </si>
  <si>
    <t>2170.19</t>
  </si>
  <si>
    <t>BIAYA YMHDB - LAIN-LAIN</t>
  </si>
  <si>
    <t>2200</t>
  </si>
  <si>
    <t>HUTANG JANGKA PANJANG</t>
  </si>
  <si>
    <t>2210</t>
  </si>
  <si>
    <t>HUTANG IMBALAN PASCA KERJA</t>
  </si>
  <si>
    <t>2220</t>
  </si>
  <si>
    <t>HUTANG JANGKA PANJANG LAINNYA</t>
  </si>
  <si>
    <t>3000</t>
  </si>
  <si>
    <t>EKUITAS</t>
  </si>
  <si>
    <t>3100</t>
  </si>
  <si>
    <t>MODAL DISETOR</t>
  </si>
  <si>
    <t>3200</t>
  </si>
  <si>
    <t>MODAL DISETOR LAINNYA</t>
  </si>
  <si>
    <t>3300</t>
  </si>
  <si>
    <t>DEVIDEN</t>
  </si>
  <si>
    <t>3400</t>
  </si>
  <si>
    <t>LABA DITAHAN</t>
  </si>
  <si>
    <t>3500</t>
  </si>
  <si>
    <t>LABA TAHUN BERJALAN</t>
  </si>
  <si>
    <t>TOTAL AKTIVA</t>
  </si>
  <si>
    <t>TOTAL PASIVA</t>
  </si>
  <si>
    <t>LAPORAN NERACA</t>
  </si>
  <si>
    <t>Per 30 September 2025</t>
  </si>
  <si>
    <t>Nilai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</si>
</sst>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  <charset val="1"/>
    </font>
    <font>
      <b/>
      <sz val="10"/>
      <name val="HElv"/>
      <charset val="1"/>
    </font>
    <font>
      <sz val="11"/>
      <color theme="4" tint="-0.249977111117893"/>
      <name val="Calibri"/>
      <family val="2"/>
      <scheme val="minor"/>
    </font>
    <font>
      <b/>
      <sz val="10"/>
      <name val="HElv"/>
    </font>
    <font>
      <b/>
      <sz val="18"/>
      <color rgb="FF501000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09E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165" fontId="0" fillId="0" borderId="0" xfId="1" applyNumberFormat="1" applyFont="1"/>
    <xf numFmtId="0" fontId="5" fillId="0" borderId="0" xfId="2" applyFont="1" applyFill="1" applyBorder="1" applyAlignment="1">
      <alignment horizontal="left" vertical="center"/>
    </xf>
    <xf numFmtId="0" fontId="4" fillId="0" borderId="0" xfId="2" quotePrefix="1" applyFont="1" applyBorder="1" applyAlignment="1">
      <alignment horizontal="center" vertical="center"/>
    </xf>
    <xf numFmtId="0" fontId="5" fillId="0" borderId="0" xfId="2" quotePrefix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65" fontId="2" fillId="0" borderId="0" xfId="1" applyNumberFormat="1" applyFont="1" applyBorder="1"/>
    <xf numFmtId="0" fontId="4" fillId="0" borderId="0" xfId="2" applyFont="1" applyBorder="1" applyAlignment="1">
      <alignment horizontal="left" vertical="center"/>
    </xf>
    <xf numFmtId="165" fontId="0" fillId="0" borderId="0" xfId="1" applyNumberFormat="1" applyFont="1" applyBorder="1"/>
    <xf numFmtId="0" fontId="0" fillId="0" borderId="0" xfId="0" applyBorder="1"/>
    <xf numFmtId="0" fontId="7" fillId="0" borderId="0" xfId="2" applyFont="1" applyFill="1" applyBorder="1" applyAlignment="1">
      <alignment horizontal="left" vertical="center"/>
    </xf>
    <xf numFmtId="0" fontId="5" fillId="2" borderId="0" xfId="2" quotePrefix="1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left" vertical="center"/>
    </xf>
    <xf numFmtId="165" fontId="2" fillId="2" borderId="0" xfId="1" applyNumberFormat="1" applyFont="1" applyFill="1" applyBorder="1"/>
    <xf numFmtId="0" fontId="7" fillId="2" borderId="0" xfId="2" quotePrefix="1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left" vertical="center"/>
    </xf>
    <xf numFmtId="0" fontId="0" fillId="3" borderId="0" xfId="0" applyFill="1" applyBorder="1"/>
    <xf numFmtId="0" fontId="5" fillId="3" borderId="0" xfId="2" applyFont="1" applyFill="1" applyBorder="1" applyAlignment="1">
      <alignment horizontal="left" vertical="center"/>
    </xf>
    <xf numFmtId="165" fontId="2" fillId="3" borderId="0" xfId="1" applyNumberFormat="1" applyFont="1" applyFill="1" applyBorder="1"/>
    <xf numFmtId="0" fontId="0" fillId="4" borderId="0" xfId="0" applyFill="1" applyBorder="1"/>
    <xf numFmtId="0" fontId="5" fillId="4" borderId="0" xfId="2" applyFont="1" applyFill="1" applyBorder="1" applyAlignment="1">
      <alignment horizontal="left" vertical="center"/>
    </xf>
    <xf numFmtId="165" fontId="2" fillId="4" borderId="0" xfId="1" applyNumberFormat="1" applyFont="1" applyFill="1" applyBorder="1"/>
    <xf numFmtId="0" fontId="4" fillId="3" borderId="0" xfId="2" quotePrefix="1" applyFont="1" applyFill="1" applyBorder="1" applyAlignment="1">
      <alignment horizontal="center" vertical="center"/>
    </xf>
    <xf numFmtId="0" fontId="0" fillId="5" borderId="0" xfId="0" applyFill="1" applyBorder="1"/>
    <xf numFmtId="0" fontId="5" fillId="5" borderId="0" xfId="2" applyFont="1" applyFill="1" applyBorder="1" applyAlignment="1">
      <alignment horizontal="left" vertical="center"/>
    </xf>
    <xf numFmtId="165" fontId="2" fillId="5" borderId="0" xfId="1" applyNumberFormat="1" applyFont="1" applyFill="1" applyBorder="1"/>
    <xf numFmtId="0" fontId="8" fillId="0" borderId="0" xfId="0" applyFont="1" applyAlignment="1">
      <alignment horizontal="center"/>
    </xf>
    <xf numFmtId="0" fontId="4" fillId="4" borderId="0" xfId="2" quotePrefix="1" applyFont="1" applyFill="1" applyBorder="1" applyAlignment="1">
      <alignment horizontal="center" vertical="center"/>
    </xf>
    <xf numFmtId="0" fontId="4" fillId="4" borderId="0" xfId="2" applyFont="1" applyFill="1" applyBorder="1" applyAlignment="1">
      <alignment horizontal="left" vertical="center"/>
    </xf>
    <xf numFmtId="165" fontId="0" fillId="4" borderId="0" xfId="1" applyNumberFormat="1" applyFont="1" applyFill="1" applyBorder="1"/>
    <xf numFmtId="0" fontId="5" fillId="6" borderId="0" xfId="2" quotePrefix="1" applyFont="1" applyFill="1" applyBorder="1" applyAlignment="1">
      <alignment horizontal="center" vertical="center"/>
    </xf>
    <xf numFmtId="0" fontId="5" fillId="6" borderId="0" xfId="2" applyFont="1" applyFill="1" applyBorder="1" applyAlignment="1">
      <alignment horizontal="left" vertical="center"/>
    </xf>
    <xf numFmtId="165" fontId="2" fillId="6" borderId="0" xfId="1" applyNumberFormat="1" applyFont="1" applyFill="1" applyBorder="1"/>
    <xf numFmtId="165" fontId="0" fillId="0" borderId="0" xfId="0" applyNumberFormat="1"/>
    <xf numFmtId="0" fontId="5" fillId="4" borderId="0" xfId="2" quotePrefix="1" applyFont="1" applyFill="1" applyBorder="1" applyAlignment="1">
      <alignment horizontal="center" vertical="center"/>
    </xf>
    <xf numFmtId="0" fontId="5" fillId="7" borderId="0" xfId="2" quotePrefix="1" applyFont="1" applyFill="1" applyBorder="1" applyAlignment="1">
      <alignment horizontal="center" vertical="center"/>
    </xf>
    <xf numFmtId="0" fontId="5" fillId="7" borderId="0" xfId="2" applyFont="1" applyFill="1" applyBorder="1" applyAlignment="1">
      <alignment horizontal="left" vertical="center"/>
    </xf>
    <xf numFmtId="165" fontId="2" fillId="7" borderId="0" xfId="1" applyNumberFormat="1" applyFont="1" applyFill="1" applyBorder="1"/>
    <xf numFmtId="0" fontId="5" fillId="8" borderId="0" xfId="2" quotePrefix="1" applyFont="1" applyFill="1" applyBorder="1" applyAlignment="1">
      <alignment horizontal="center" vertical="center"/>
    </xf>
    <xf numFmtId="0" fontId="5" fillId="8" borderId="0" xfId="2" applyFont="1" applyFill="1" applyBorder="1" applyAlignment="1">
      <alignment horizontal="left" vertical="center"/>
    </xf>
    <xf numFmtId="165" fontId="2" fillId="8" borderId="0" xfId="1" applyNumberFormat="1" applyFont="1" applyFill="1" applyBorder="1"/>
    <xf numFmtId="0" fontId="7" fillId="9" borderId="0" xfId="2" applyFont="1" applyFill="1" applyBorder="1" applyAlignment="1">
      <alignment horizontal="left" vertical="center"/>
    </xf>
    <xf numFmtId="165" fontId="2" fillId="9" borderId="0" xfId="1" applyNumberFormat="1" applyFont="1" applyFill="1" applyBorder="1"/>
    <xf numFmtId="0" fontId="2" fillId="9" borderId="0" xfId="0" applyFont="1" applyFill="1" applyBorder="1"/>
    <xf numFmtId="0" fontId="5" fillId="9" borderId="0" xfId="2" applyFont="1" applyFill="1" applyBorder="1" applyAlignment="1">
      <alignment horizontal="left" vertical="center"/>
    </xf>
    <xf numFmtId="0" fontId="9" fillId="0" borderId="1" xfId="0" applyFont="1" applyBorder="1"/>
    <xf numFmtId="165" fontId="9" fillId="0" borderId="1" xfId="1" applyNumberFormat="1" applyFont="1" applyBorder="1"/>
    <xf numFmtId="0" fontId="6" fillId="0" borderId="1" xfId="0" applyFont="1" applyBorder="1" applyAlignment="1">
      <alignment horizontal="left"/>
    </xf>
    <xf numFmtId="165" fontId="6" fillId="0" borderId="1" xfId="1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Normal_Account Saka (Pajak)" xfId="2" xr:uid="{AFA5C97B-0821-4805-AFA8-0C0744CCF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73B-B94A-4A16-A47C-6065589A4D61}">
  <dimension ref="A1:C132"/>
  <sheetViews>
    <sheetView workbookViewId="0">
      <selection activeCell="B10" sqref="B10"/>
    </sheetView>
  </sheetViews>
  <sheetFormatPr defaultRowHeight="15" x14ac:dyDescent="0.25"/>
  <cols>
    <col min="2" max="2" width="51.85546875" customWidth="1"/>
    <col min="3" max="3" width="20.28515625" style="1" customWidth="1"/>
  </cols>
  <sheetData>
    <row r="1" spans="1:3" ht="23.25" x14ac:dyDescent="0.35">
      <c r="A1" s="26" t="s">
        <v>231</v>
      </c>
      <c r="B1" s="26"/>
      <c r="C1" s="26"/>
    </row>
    <row r="2" spans="1:3" ht="23.25" x14ac:dyDescent="0.35">
      <c r="A2" s="26" t="s">
        <v>0</v>
      </c>
      <c r="B2" s="26"/>
      <c r="C2" s="26"/>
    </row>
    <row r="3" spans="1:3" ht="23.25" x14ac:dyDescent="0.35">
      <c r="A3" s="26" t="s">
        <v>1</v>
      </c>
      <c r="B3" s="26"/>
      <c r="C3" s="26"/>
    </row>
    <row r="5" spans="1:3" ht="15.75" thickBot="1" x14ac:dyDescent="0.3">
      <c r="A5" s="47" t="s">
        <v>2</v>
      </c>
      <c r="B5" s="47"/>
      <c r="C5" s="48" t="s">
        <v>193</v>
      </c>
    </row>
    <row r="6" spans="1:3" ht="15.75" thickTop="1" x14ac:dyDescent="0.25">
      <c r="A6" s="11" t="s">
        <v>3</v>
      </c>
      <c r="B6" s="12" t="s">
        <v>4</v>
      </c>
      <c r="C6" s="13">
        <f>SUM(C7:C12)</f>
        <v>2440000000</v>
      </c>
    </row>
    <row r="7" spans="1:3" x14ac:dyDescent="0.25">
      <c r="A7" s="3" t="s">
        <v>5</v>
      </c>
      <c r="B7" s="7" t="s">
        <v>6</v>
      </c>
      <c r="C7" s="8">
        <v>1500000000</v>
      </c>
    </row>
    <row r="8" spans="1:3" x14ac:dyDescent="0.25">
      <c r="A8" s="3" t="s">
        <v>7</v>
      </c>
      <c r="B8" s="7" t="s">
        <v>8</v>
      </c>
      <c r="C8" s="8">
        <v>-100000000</v>
      </c>
    </row>
    <row r="9" spans="1:3" x14ac:dyDescent="0.25">
      <c r="A9" s="3" t="s">
        <v>9</v>
      </c>
      <c r="B9" s="7" t="s">
        <v>10</v>
      </c>
      <c r="C9" s="8">
        <v>-50000000</v>
      </c>
    </row>
    <row r="10" spans="1:3" x14ac:dyDescent="0.25">
      <c r="A10" s="3" t="s">
        <v>11</v>
      </c>
      <c r="B10" s="7" t="s">
        <v>12</v>
      </c>
      <c r="C10" s="8">
        <v>1200000000</v>
      </c>
    </row>
    <row r="11" spans="1:3" x14ac:dyDescent="0.25">
      <c r="A11" s="3" t="s">
        <v>13</v>
      </c>
      <c r="B11" s="7" t="s">
        <v>14</v>
      </c>
      <c r="C11" s="8">
        <v>-80000000</v>
      </c>
    </row>
    <row r="12" spans="1:3" x14ac:dyDescent="0.25">
      <c r="A12" s="3" t="s">
        <v>15</v>
      </c>
      <c r="B12" s="7" t="s">
        <v>16</v>
      </c>
      <c r="C12" s="8">
        <v>-30000000</v>
      </c>
    </row>
    <row r="13" spans="1:3" x14ac:dyDescent="0.25">
      <c r="A13" s="3"/>
      <c r="B13" s="7"/>
      <c r="C13" s="8"/>
    </row>
    <row r="14" spans="1:3" x14ac:dyDescent="0.25">
      <c r="A14" s="16"/>
      <c r="B14" s="17" t="s">
        <v>17</v>
      </c>
      <c r="C14" s="18">
        <f>C6</f>
        <v>2440000000</v>
      </c>
    </row>
    <row r="15" spans="1:3" x14ac:dyDescent="0.25">
      <c r="A15" s="9"/>
      <c r="B15" s="2"/>
      <c r="C15" s="6"/>
    </row>
    <row r="16" spans="1:3" x14ac:dyDescent="0.25">
      <c r="A16" s="11" t="s">
        <v>18</v>
      </c>
      <c r="B16" s="12" t="s">
        <v>19</v>
      </c>
      <c r="C16" s="13">
        <f>SUM(C17:C25)</f>
        <v>970000000</v>
      </c>
    </row>
    <row r="17" spans="1:3" x14ac:dyDescent="0.25">
      <c r="A17" s="3" t="s">
        <v>20</v>
      </c>
      <c r="B17" s="7" t="s">
        <v>21</v>
      </c>
      <c r="C17" s="8">
        <v>300000000</v>
      </c>
    </row>
    <row r="18" spans="1:3" x14ac:dyDescent="0.25">
      <c r="A18" s="3" t="s">
        <v>22</v>
      </c>
      <c r="B18" s="7" t="s">
        <v>23</v>
      </c>
      <c r="C18" s="8">
        <v>-50000000</v>
      </c>
    </row>
    <row r="19" spans="1:3" x14ac:dyDescent="0.25">
      <c r="A19" s="3" t="s">
        <v>24</v>
      </c>
      <c r="B19" s="7" t="s">
        <v>25</v>
      </c>
      <c r="C19" s="8">
        <v>-20000000</v>
      </c>
    </row>
    <row r="20" spans="1:3" x14ac:dyDescent="0.25">
      <c r="A20" s="3" t="s">
        <v>26</v>
      </c>
      <c r="B20" s="7" t="s">
        <v>27</v>
      </c>
      <c r="C20" s="8">
        <v>30000000</v>
      </c>
    </row>
    <row r="21" spans="1:3" x14ac:dyDescent="0.25">
      <c r="A21" s="3" t="s">
        <v>28</v>
      </c>
      <c r="B21" s="7" t="s">
        <v>29</v>
      </c>
      <c r="C21" s="8">
        <v>500000000</v>
      </c>
    </row>
    <row r="22" spans="1:3" x14ac:dyDescent="0.25">
      <c r="A22" s="3" t="s">
        <v>30</v>
      </c>
      <c r="B22" s="7" t="s">
        <v>23</v>
      </c>
      <c r="C22" s="8">
        <v>-60000000</v>
      </c>
    </row>
    <row r="23" spans="1:3" x14ac:dyDescent="0.25">
      <c r="A23" s="3" t="s">
        <v>31</v>
      </c>
      <c r="B23" s="7" t="s">
        <v>25</v>
      </c>
      <c r="C23" s="8">
        <v>-30000000</v>
      </c>
    </row>
    <row r="24" spans="1:3" x14ac:dyDescent="0.25">
      <c r="A24" s="3" t="s">
        <v>32</v>
      </c>
      <c r="B24" s="7" t="s">
        <v>33</v>
      </c>
      <c r="C24" s="8">
        <v>100000000</v>
      </c>
    </row>
    <row r="25" spans="1:3" x14ac:dyDescent="0.25">
      <c r="A25" s="3" t="s">
        <v>34</v>
      </c>
      <c r="B25" s="7" t="s">
        <v>35</v>
      </c>
      <c r="C25" s="8">
        <v>200000000</v>
      </c>
    </row>
    <row r="26" spans="1:3" x14ac:dyDescent="0.25">
      <c r="A26" s="3"/>
      <c r="B26" s="7"/>
      <c r="C26" s="8"/>
    </row>
    <row r="27" spans="1:3" x14ac:dyDescent="0.25">
      <c r="A27" s="16"/>
      <c r="B27" s="17" t="s">
        <v>37</v>
      </c>
      <c r="C27" s="18">
        <f>C16</f>
        <v>970000000</v>
      </c>
    </row>
    <row r="28" spans="1:3" x14ac:dyDescent="0.25">
      <c r="A28" s="9"/>
      <c r="B28" s="9"/>
      <c r="C28" s="8"/>
    </row>
    <row r="29" spans="1:3" x14ac:dyDescent="0.25">
      <c r="A29" s="19"/>
      <c r="B29" s="20" t="s">
        <v>36</v>
      </c>
      <c r="C29" s="21">
        <f>C14-C27</f>
        <v>1470000000</v>
      </c>
    </row>
    <row r="30" spans="1:3" x14ac:dyDescent="0.25">
      <c r="A30" s="9"/>
      <c r="B30" s="2"/>
      <c r="C30" s="6"/>
    </row>
    <row r="31" spans="1:3" x14ac:dyDescent="0.25">
      <c r="A31" s="9"/>
      <c r="B31" s="2" t="s">
        <v>190</v>
      </c>
      <c r="C31" s="8"/>
    </row>
    <row r="32" spans="1:3" x14ac:dyDescent="0.25">
      <c r="A32" s="11" t="s">
        <v>38</v>
      </c>
      <c r="B32" s="12" t="s">
        <v>39</v>
      </c>
      <c r="C32" s="13">
        <f>C33+C46+C100</f>
        <v>1144100000</v>
      </c>
    </row>
    <row r="33" spans="1:3" x14ac:dyDescent="0.25">
      <c r="A33" s="4" t="s">
        <v>40</v>
      </c>
      <c r="B33" s="5" t="s">
        <v>41</v>
      </c>
      <c r="C33" s="6">
        <f>SUM(C34:C45)</f>
        <v>164000000</v>
      </c>
    </row>
    <row r="34" spans="1:3" x14ac:dyDescent="0.25">
      <c r="A34" s="3" t="s">
        <v>42</v>
      </c>
      <c r="B34" s="7" t="s">
        <v>43</v>
      </c>
      <c r="C34" s="8">
        <v>2000000</v>
      </c>
    </row>
    <row r="35" spans="1:3" x14ac:dyDescent="0.25">
      <c r="A35" s="3" t="s">
        <v>44</v>
      </c>
      <c r="B35" s="7" t="s">
        <v>45</v>
      </c>
      <c r="C35" s="8">
        <v>3000000</v>
      </c>
    </row>
    <row r="36" spans="1:3" x14ac:dyDescent="0.25">
      <c r="A36" s="3" t="s">
        <v>46</v>
      </c>
      <c r="B36" s="7" t="s">
        <v>47</v>
      </c>
      <c r="C36" s="8">
        <v>5000000</v>
      </c>
    </row>
    <row r="37" spans="1:3" x14ac:dyDescent="0.25">
      <c r="A37" s="3" t="s">
        <v>48</v>
      </c>
      <c r="B37" s="7" t="s">
        <v>49</v>
      </c>
      <c r="C37" s="8">
        <v>4000000</v>
      </c>
    </row>
    <row r="38" spans="1:3" x14ac:dyDescent="0.25">
      <c r="A38" s="3" t="s">
        <v>50</v>
      </c>
      <c r="B38" s="7" t="s">
        <v>51</v>
      </c>
      <c r="C38" s="8">
        <v>10000000</v>
      </c>
    </row>
    <row r="39" spans="1:3" x14ac:dyDescent="0.25">
      <c r="A39" s="3" t="s">
        <v>52</v>
      </c>
      <c r="B39" s="7" t="s">
        <v>53</v>
      </c>
      <c r="C39" s="8">
        <v>5000000</v>
      </c>
    </row>
    <row r="40" spans="1:3" x14ac:dyDescent="0.25">
      <c r="A40" s="3" t="s">
        <v>54</v>
      </c>
      <c r="B40" s="7" t="s">
        <v>55</v>
      </c>
      <c r="C40" s="8">
        <v>2000000</v>
      </c>
    </row>
    <row r="41" spans="1:3" x14ac:dyDescent="0.25">
      <c r="A41" s="3" t="s">
        <v>56</v>
      </c>
      <c r="B41" s="7" t="s">
        <v>57</v>
      </c>
      <c r="C41" s="8">
        <v>15000000</v>
      </c>
    </row>
    <row r="42" spans="1:3" x14ac:dyDescent="0.25">
      <c r="A42" s="3" t="s">
        <v>58</v>
      </c>
      <c r="B42" s="7" t="s">
        <v>59</v>
      </c>
      <c r="C42" s="8">
        <v>3000000</v>
      </c>
    </row>
    <row r="43" spans="1:3" x14ac:dyDescent="0.25">
      <c r="A43" s="3" t="s">
        <v>60</v>
      </c>
      <c r="B43" s="7" t="s">
        <v>61</v>
      </c>
      <c r="C43" s="8">
        <v>80000000</v>
      </c>
    </row>
    <row r="44" spans="1:3" x14ac:dyDescent="0.25">
      <c r="A44" s="3" t="s">
        <v>62</v>
      </c>
      <c r="B44" s="7" t="s">
        <v>63</v>
      </c>
      <c r="C44" s="8">
        <v>30000000</v>
      </c>
    </row>
    <row r="45" spans="1:3" x14ac:dyDescent="0.25">
      <c r="A45" s="3" t="s">
        <v>64</v>
      </c>
      <c r="B45" s="7" t="s">
        <v>65</v>
      </c>
      <c r="C45" s="8">
        <v>5000000</v>
      </c>
    </row>
    <row r="46" spans="1:3" x14ac:dyDescent="0.25">
      <c r="A46" s="4" t="s">
        <v>66</v>
      </c>
      <c r="B46" s="5" t="s">
        <v>67</v>
      </c>
      <c r="C46" s="6">
        <f>C47+C54+C61+C67+C72+C79+C88+C94</f>
        <v>967100000</v>
      </c>
    </row>
    <row r="47" spans="1:3" x14ac:dyDescent="0.25">
      <c r="A47" s="4" t="s">
        <v>68</v>
      </c>
      <c r="B47" s="5" t="s">
        <v>69</v>
      </c>
      <c r="C47" s="6">
        <f>SUM(C48:C53)</f>
        <v>770000000</v>
      </c>
    </row>
    <row r="48" spans="1:3" x14ac:dyDescent="0.25">
      <c r="A48" s="3" t="s">
        <v>70</v>
      </c>
      <c r="B48" s="7" t="s">
        <v>71</v>
      </c>
      <c r="C48" s="8">
        <v>300000000</v>
      </c>
    </row>
    <row r="49" spans="1:3" x14ac:dyDescent="0.25">
      <c r="A49" s="3" t="s">
        <v>72</v>
      </c>
      <c r="B49" s="7" t="s">
        <v>73</v>
      </c>
      <c r="C49" s="8">
        <v>300000000</v>
      </c>
    </row>
    <row r="50" spans="1:3" x14ac:dyDescent="0.25">
      <c r="A50" s="3" t="s">
        <v>74</v>
      </c>
      <c r="B50" s="7" t="s">
        <v>75</v>
      </c>
      <c r="C50" s="8">
        <v>50000000</v>
      </c>
    </row>
    <row r="51" spans="1:3" x14ac:dyDescent="0.25">
      <c r="A51" s="3" t="s">
        <v>76</v>
      </c>
      <c r="B51" s="7" t="s">
        <v>77</v>
      </c>
      <c r="C51" s="8">
        <v>80000000</v>
      </c>
    </row>
    <row r="52" spans="1:3" x14ac:dyDescent="0.25">
      <c r="A52" s="3" t="s">
        <v>78</v>
      </c>
      <c r="B52" s="7" t="s">
        <v>79</v>
      </c>
      <c r="C52" s="8">
        <v>30000000</v>
      </c>
    </row>
    <row r="53" spans="1:3" x14ac:dyDescent="0.25">
      <c r="A53" s="3" t="s">
        <v>80</v>
      </c>
      <c r="B53" s="7" t="s">
        <v>81</v>
      </c>
      <c r="C53" s="8">
        <v>10000000</v>
      </c>
    </row>
    <row r="54" spans="1:3" x14ac:dyDescent="0.25">
      <c r="A54" s="4" t="s">
        <v>82</v>
      </c>
      <c r="B54" s="5" t="s">
        <v>83</v>
      </c>
      <c r="C54" s="6">
        <f>SUM(C55:C60)</f>
        <v>130000000</v>
      </c>
    </row>
    <row r="55" spans="1:3" x14ac:dyDescent="0.25">
      <c r="A55" s="3" t="s">
        <v>84</v>
      </c>
      <c r="B55" s="7" t="s">
        <v>85</v>
      </c>
      <c r="C55" s="8">
        <v>30000000</v>
      </c>
    </row>
    <row r="56" spans="1:3" x14ac:dyDescent="0.25">
      <c r="A56" s="3" t="s">
        <v>86</v>
      </c>
      <c r="B56" s="7" t="s">
        <v>87</v>
      </c>
      <c r="C56" s="8">
        <v>20000000</v>
      </c>
    </row>
    <row r="57" spans="1:3" x14ac:dyDescent="0.25">
      <c r="A57" s="3" t="s">
        <v>88</v>
      </c>
      <c r="B57" s="7" t="s">
        <v>89</v>
      </c>
      <c r="C57" s="8">
        <v>10000000</v>
      </c>
    </row>
    <row r="58" spans="1:3" x14ac:dyDescent="0.25">
      <c r="A58" s="3" t="s">
        <v>90</v>
      </c>
      <c r="B58" s="7" t="s">
        <v>91</v>
      </c>
      <c r="C58" s="8">
        <v>30000000</v>
      </c>
    </row>
    <row r="59" spans="1:3" x14ac:dyDescent="0.25">
      <c r="A59" s="3" t="s">
        <v>92</v>
      </c>
      <c r="B59" s="7" t="s">
        <v>93</v>
      </c>
      <c r="C59" s="8">
        <v>30000000</v>
      </c>
    </row>
    <row r="60" spans="1:3" x14ac:dyDescent="0.25">
      <c r="A60" s="3" t="s">
        <v>94</v>
      </c>
      <c r="B60" s="7" t="s">
        <v>95</v>
      </c>
      <c r="C60" s="8">
        <v>10000000</v>
      </c>
    </row>
    <row r="61" spans="1:3" x14ac:dyDescent="0.25">
      <c r="A61" s="4" t="s">
        <v>96</v>
      </c>
      <c r="B61" s="5" t="s">
        <v>97</v>
      </c>
      <c r="C61" s="6">
        <f>SUM(C62:C66)</f>
        <v>14000000</v>
      </c>
    </row>
    <row r="62" spans="1:3" x14ac:dyDescent="0.25">
      <c r="A62" s="3" t="s">
        <v>98</v>
      </c>
      <c r="B62" s="7" t="s">
        <v>99</v>
      </c>
      <c r="C62" s="8">
        <v>4500000</v>
      </c>
    </row>
    <row r="63" spans="1:3" x14ac:dyDescent="0.25">
      <c r="A63" s="3" t="s">
        <v>100</v>
      </c>
      <c r="B63" s="7" t="s">
        <v>101</v>
      </c>
      <c r="C63" s="8">
        <v>2000000</v>
      </c>
    </row>
    <row r="64" spans="1:3" x14ac:dyDescent="0.25">
      <c r="A64" s="3" t="s">
        <v>102</v>
      </c>
      <c r="B64" s="7" t="s">
        <v>103</v>
      </c>
      <c r="C64" s="8">
        <v>1000000</v>
      </c>
    </row>
    <row r="65" spans="1:3" x14ac:dyDescent="0.25">
      <c r="A65" s="3" t="s">
        <v>104</v>
      </c>
      <c r="B65" s="7" t="s">
        <v>105</v>
      </c>
      <c r="C65" s="8">
        <v>6000000</v>
      </c>
    </row>
    <row r="66" spans="1:3" x14ac:dyDescent="0.25">
      <c r="A66" s="3" t="s">
        <v>106</v>
      </c>
      <c r="B66" s="7" t="s">
        <v>107</v>
      </c>
      <c r="C66" s="8">
        <v>500000</v>
      </c>
    </row>
    <row r="67" spans="1:3" x14ac:dyDescent="0.25">
      <c r="A67" s="4" t="s">
        <v>108</v>
      </c>
      <c r="B67" s="5" t="s">
        <v>109</v>
      </c>
      <c r="C67" s="6">
        <f>SUM(C68:C71)</f>
        <v>2600000</v>
      </c>
    </row>
    <row r="68" spans="1:3" x14ac:dyDescent="0.25">
      <c r="A68" s="3" t="s">
        <v>110</v>
      </c>
      <c r="B68" s="7" t="s">
        <v>111</v>
      </c>
      <c r="C68" s="8">
        <v>1000000</v>
      </c>
    </row>
    <row r="69" spans="1:3" x14ac:dyDescent="0.25">
      <c r="A69" s="3" t="s">
        <v>112</v>
      </c>
      <c r="B69" s="7" t="s">
        <v>113</v>
      </c>
      <c r="C69" s="8">
        <v>300000</v>
      </c>
    </row>
    <row r="70" spans="1:3" x14ac:dyDescent="0.25">
      <c r="A70" s="3" t="s">
        <v>114</v>
      </c>
      <c r="B70" s="7" t="s">
        <v>115</v>
      </c>
      <c r="C70" s="8">
        <v>300000</v>
      </c>
    </row>
    <row r="71" spans="1:3" x14ac:dyDescent="0.25">
      <c r="A71" s="3" t="s">
        <v>116</v>
      </c>
      <c r="B71" s="7" t="s">
        <v>117</v>
      </c>
      <c r="C71" s="8">
        <v>1000000</v>
      </c>
    </row>
    <row r="72" spans="1:3" x14ac:dyDescent="0.25">
      <c r="A72" s="4" t="s">
        <v>118</v>
      </c>
      <c r="B72" s="5" t="s">
        <v>119</v>
      </c>
      <c r="C72" s="6">
        <f>SUM(C73:C78)</f>
        <v>1500000</v>
      </c>
    </row>
    <row r="73" spans="1:3" x14ac:dyDescent="0.25">
      <c r="A73" s="3" t="s">
        <v>120</v>
      </c>
      <c r="B73" s="7" t="s">
        <v>121</v>
      </c>
      <c r="C73" s="8">
        <v>500000</v>
      </c>
    </row>
    <row r="74" spans="1:3" x14ac:dyDescent="0.25">
      <c r="A74" s="3" t="s">
        <v>122</v>
      </c>
      <c r="B74" s="7" t="s">
        <v>123</v>
      </c>
      <c r="C74" s="8">
        <v>300000</v>
      </c>
    </row>
    <row r="75" spans="1:3" x14ac:dyDescent="0.25">
      <c r="A75" s="3" t="s">
        <v>124</v>
      </c>
      <c r="B75" s="7" t="s">
        <v>125</v>
      </c>
      <c r="C75" s="8">
        <v>200000</v>
      </c>
    </row>
    <row r="76" spans="1:3" x14ac:dyDescent="0.25">
      <c r="A76" s="3" t="s">
        <v>126</v>
      </c>
      <c r="B76" s="7" t="s">
        <v>127</v>
      </c>
      <c r="C76" s="8">
        <v>200000</v>
      </c>
    </row>
    <row r="77" spans="1:3" x14ac:dyDescent="0.25">
      <c r="A77" s="3" t="s">
        <v>128</v>
      </c>
      <c r="B77" s="7" t="s">
        <v>129</v>
      </c>
      <c r="C77" s="8">
        <v>100000</v>
      </c>
    </row>
    <row r="78" spans="1:3" x14ac:dyDescent="0.25">
      <c r="A78" s="3" t="s">
        <v>130</v>
      </c>
      <c r="B78" s="7" t="s">
        <v>131</v>
      </c>
      <c r="C78" s="8">
        <v>200000</v>
      </c>
    </row>
    <row r="79" spans="1:3" x14ac:dyDescent="0.25">
      <c r="A79" s="4" t="s">
        <v>132</v>
      </c>
      <c r="B79" s="5" t="s">
        <v>133</v>
      </c>
      <c r="C79" s="6">
        <f>SUM(C80:C87)</f>
        <v>8500000</v>
      </c>
    </row>
    <row r="80" spans="1:3" x14ac:dyDescent="0.25">
      <c r="A80" s="3" t="s">
        <v>134</v>
      </c>
      <c r="B80" s="7" t="s">
        <v>135</v>
      </c>
      <c r="C80" s="8">
        <v>500000</v>
      </c>
    </row>
    <row r="81" spans="1:3" x14ac:dyDescent="0.25">
      <c r="A81" s="3" t="s">
        <v>136</v>
      </c>
      <c r="B81" s="7" t="s">
        <v>137</v>
      </c>
      <c r="C81" s="8">
        <v>1000000</v>
      </c>
    </row>
    <row r="82" spans="1:3" x14ac:dyDescent="0.25">
      <c r="A82" s="3" t="s">
        <v>138</v>
      </c>
      <c r="B82" s="7" t="s">
        <v>139</v>
      </c>
      <c r="C82" s="8">
        <v>1000000</v>
      </c>
    </row>
    <row r="83" spans="1:3" x14ac:dyDescent="0.25">
      <c r="A83" s="3" t="s">
        <v>140</v>
      </c>
      <c r="B83" s="7" t="s">
        <v>141</v>
      </c>
      <c r="C83" s="8">
        <v>2000000</v>
      </c>
    </row>
    <row r="84" spans="1:3" x14ac:dyDescent="0.25">
      <c r="A84" s="3" t="s">
        <v>142</v>
      </c>
      <c r="B84" s="7" t="s">
        <v>143</v>
      </c>
      <c r="C84" s="8">
        <v>1000000</v>
      </c>
    </row>
    <row r="85" spans="1:3" x14ac:dyDescent="0.25">
      <c r="A85" s="3" t="s">
        <v>144</v>
      </c>
      <c r="B85" s="7" t="s">
        <v>145</v>
      </c>
      <c r="C85" s="8">
        <v>1000000</v>
      </c>
    </row>
    <row r="86" spans="1:3" x14ac:dyDescent="0.25">
      <c r="A86" s="3" t="s">
        <v>146</v>
      </c>
      <c r="B86" s="7" t="s">
        <v>147</v>
      </c>
      <c r="C86" s="8">
        <v>1000000</v>
      </c>
    </row>
    <row r="87" spans="1:3" x14ac:dyDescent="0.25">
      <c r="A87" s="3" t="s">
        <v>148</v>
      </c>
      <c r="B87" s="7" t="s">
        <v>149</v>
      </c>
      <c r="C87" s="8">
        <v>1000000</v>
      </c>
    </row>
    <row r="88" spans="1:3" x14ac:dyDescent="0.25">
      <c r="A88" s="4" t="s">
        <v>150</v>
      </c>
      <c r="B88" s="5" t="s">
        <v>151</v>
      </c>
      <c r="C88" s="6">
        <f>SUM(C89:C93)</f>
        <v>16300000</v>
      </c>
    </row>
    <row r="89" spans="1:3" x14ac:dyDescent="0.25">
      <c r="A89" s="3" t="s">
        <v>152</v>
      </c>
      <c r="B89" s="7" t="s">
        <v>153</v>
      </c>
      <c r="C89" s="8">
        <v>5000000</v>
      </c>
    </row>
    <row r="90" spans="1:3" x14ac:dyDescent="0.25">
      <c r="A90" s="3" t="s">
        <v>154</v>
      </c>
      <c r="B90" s="7" t="s">
        <v>155</v>
      </c>
      <c r="C90" s="8">
        <v>3000000</v>
      </c>
    </row>
    <row r="91" spans="1:3" x14ac:dyDescent="0.25">
      <c r="A91" s="3" t="s">
        <v>156</v>
      </c>
      <c r="B91" s="7" t="s">
        <v>157</v>
      </c>
      <c r="C91" s="8">
        <v>3000000</v>
      </c>
    </row>
    <row r="92" spans="1:3" x14ac:dyDescent="0.25">
      <c r="A92" s="3" t="s">
        <v>158</v>
      </c>
      <c r="B92" s="7" t="s">
        <v>159</v>
      </c>
      <c r="C92" s="8">
        <v>300000</v>
      </c>
    </row>
    <row r="93" spans="1:3" x14ac:dyDescent="0.25">
      <c r="A93" s="3" t="s">
        <v>160</v>
      </c>
      <c r="B93" s="7" t="s">
        <v>161</v>
      </c>
      <c r="C93" s="8">
        <v>5000000</v>
      </c>
    </row>
    <row r="94" spans="1:3" x14ac:dyDescent="0.25">
      <c r="A94" s="4" t="s">
        <v>162</v>
      </c>
      <c r="B94" s="5" t="s">
        <v>163</v>
      </c>
      <c r="C94" s="6">
        <f>SUM(C95:C99)</f>
        <v>24200000</v>
      </c>
    </row>
    <row r="95" spans="1:3" x14ac:dyDescent="0.25">
      <c r="A95" s="3" t="s">
        <v>164</v>
      </c>
      <c r="B95" s="7" t="s">
        <v>165</v>
      </c>
      <c r="C95" s="8">
        <v>15000000</v>
      </c>
    </row>
    <row r="96" spans="1:3" x14ac:dyDescent="0.25">
      <c r="A96" s="3" t="s">
        <v>166</v>
      </c>
      <c r="B96" s="7" t="s">
        <v>167</v>
      </c>
      <c r="C96" s="8">
        <v>5000000</v>
      </c>
    </row>
    <row r="97" spans="1:3" x14ac:dyDescent="0.25">
      <c r="A97" s="3" t="s">
        <v>168</v>
      </c>
      <c r="B97" s="7" t="s">
        <v>169</v>
      </c>
      <c r="C97" s="8">
        <v>2000000</v>
      </c>
    </row>
    <row r="98" spans="1:3" x14ac:dyDescent="0.25">
      <c r="A98" s="3" t="s">
        <v>170</v>
      </c>
      <c r="B98" s="7" t="s">
        <v>171</v>
      </c>
      <c r="C98" s="8">
        <v>2000000</v>
      </c>
    </row>
    <row r="99" spans="1:3" x14ac:dyDescent="0.25">
      <c r="A99" s="3" t="s">
        <v>172</v>
      </c>
      <c r="B99" s="7" t="s">
        <v>173</v>
      </c>
      <c r="C99" s="8">
        <v>200000</v>
      </c>
    </row>
    <row r="100" spans="1:3" x14ac:dyDescent="0.25">
      <c r="A100" s="4" t="s">
        <v>174</v>
      </c>
      <c r="B100" s="5" t="s">
        <v>175</v>
      </c>
      <c r="C100" s="6">
        <f>C101+C106</f>
        <v>13000000</v>
      </c>
    </row>
    <row r="101" spans="1:3" x14ac:dyDescent="0.25">
      <c r="A101" s="4" t="s">
        <v>176</v>
      </c>
      <c r="B101" s="5" t="s">
        <v>177</v>
      </c>
      <c r="C101" s="6">
        <f>SUM(C102:C105)</f>
        <v>11000000</v>
      </c>
    </row>
    <row r="102" spans="1:3" x14ac:dyDescent="0.25">
      <c r="A102" s="3" t="s">
        <v>178</v>
      </c>
      <c r="B102" s="7" t="s">
        <v>179</v>
      </c>
      <c r="C102" s="8">
        <v>3000000</v>
      </c>
    </row>
    <row r="103" spans="1:3" x14ac:dyDescent="0.25">
      <c r="A103" s="3" t="s">
        <v>180</v>
      </c>
      <c r="B103" s="7" t="s">
        <v>181</v>
      </c>
      <c r="C103" s="8">
        <v>3000000</v>
      </c>
    </row>
    <row r="104" spans="1:3" x14ac:dyDescent="0.25">
      <c r="A104" s="3" t="s">
        <v>182</v>
      </c>
      <c r="B104" s="7" t="s">
        <v>183</v>
      </c>
      <c r="C104" s="8">
        <v>2000000</v>
      </c>
    </row>
    <row r="105" spans="1:3" x14ac:dyDescent="0.25">
      <c r="A105" s="3" t="s">
        <v>184</v>
      </c>
      <c r="B105" s="7" t="s">
        <v>185</v>
      </c>
      <c r="C105" s="8">
        <v>3000000</v>
      </c>
    </row>
    <row r="106" spans="1:3" x14ac:dyDescent="0.25">
      <c r="A106" s="4" t="s">
        <v>186</v>
      </c>
      <c r="B106" s="5" t="s">
        <v>187</v>
      </c>
      <c r="C106" s="6">
        <f>C107</f>
        <v>2000000</v>
      </c>
    </row>
    <row r="107" spans="1:3" x14ac:dyDescent="0.25">
      <c r="A107" s="3" t="s">
        <v>188</v>
      </c>
      <c r="B107" s="7" t="s">
        <v>189</v>
      </c>
      <c r="C107" s="8">
        <v>2000000</v>
      </c>
    </row>
    <row r="108" spans="1:3" x14ac:dyDescent="0.25">
      <c r="A108" s="16"/>
      <c r="B108" s="17" t="s">
        <v>191</v>
      </c>
      <c r="C108" s="18">
        <f>C32</f>
        <v>1144100000</v>
      </c>
    </row>
    <row r="109" spans="1:3" x14ac:dyDescent="0.25">
      <c r="A109" s="19"/>
      <c r="B109" s="20" t="s">
        <v>192</v>
      </c>
      <c r="C109" s="21">
        <f>C29-C108</f>
        <v>325900000</v>
      </c>
    </row>
    <row r="110" spans="1:3" x14ac:dyDescent="0.25">
      <c r="A110" s="9"/>
      <c r="B110" s="9"/>
      <c r="C110" s="8"/>
    </row>
    <row r="111" spans="1:3" x14ac:dyDescent="0.25">
      <c r="A111" s="9"/>
      <c r="B111" s="2" t="s">
        <v>194</v>
      </c>
      <c r="C111" s="8"/>
    </row>
    <row r="112" spans="1:3" x14ac:dyDescent="0.25">
      <c r="A112" s="9"/>
      <c r="B112" s="2" t="s">
        <v>195</v>
      </c>
      <c r="C112" s="8"/>
    </row>
    <row r="113" spans="1:3" x14ac:dyDescent="0.25">
      <c r="A113" s="11" t="s">
        <v>196</v>
      </c>
      <c r="B113" s="12" t="s">
        <v>197</v>
      </c>
      <c r="C113" s="13">
        <f>SUM(C114:C118)</f>
        <v>5500000</v>
      </c>
    </row>
    <row r="114" spans="1:3" x14ac:dyDescent="0.25">
      <c r="A114" s="3" t="s">
        <v>198</v>
      </c>
      <c r="B114" s="7" t="s">
        <v>199</v>
      </c>
      <c r="C114" s="8">
        <v>300000</v>
      </c>
    </row>
    <row r="115" spans="1:3" x14ac:dyDescent="0.25">
      <c r="A115" s="3" t="s">
        <v>200</v>
      </c>
      <c r="B115" s="7" t="s">
        <v>201</v>
      </c>
      <c r="C115" s="8">
        <v>200000</v>
      </c>
    </row>
    <row r="116" spans="1:3" x14ac:dyDescent="0.25">
      <c r="A116" s="3" t="s">
        <v>202</v>
      </c>
      <c r="B116" s="7" t="s">
        <v>203</v>
      </c>
      <c r="C116" s="8">
        <v>1000000</v>
      </c>
    </row>
    <row r="117" spans="1:3" x14ac:dyDescent="0.25">
      <c r="A117" s="3" t="s">
        <v>204</v>
      </c>
      <c r="B117" s="7" t="s">
        <v>205</v>
      </c>
      <c r="C117" s="8">
        <v>2000000</v>
      </c>
    </row>
    <row r="118" spans="1:3" x14ac:dyDescent="0.25">
      <c r="A118" s="3" t="s">
        <v>206</v>
      </c>
      <c r="B118" s="7" t="s">
        <v>207</v>
      </c>
      <c r="C118" s="8">
        <v>2000000</v>
      </c>
    </row>
    <row r="119" spans="1:3" x14ac:dyDescent="0.25">
      <c r="A119" s="9"/>
      <c r="B119" s="10" t="s">
        <v>208</v>
      </c>
      <c r="C119" s="8"/>
    </row>
    <row r="120" spans="1:3" x14ac:dyDescent="0.25">
      <c r="A120" s="14" t="s">
        <v>209</v>
      </c>
      <c r="B120" s="15" t="s">
        <v>210</v>
      </c>
      <c r="C120" s="13">
        <f>SUM(C121:C126)</f>
        <v>4000000</v>
      </c>
    </row>
    <row r="121" spans="1:3" x14ac:dyDescent="0.25">
      <c r="A121" s="3" t="s">
        <v>211</v>
      </c>
      <c r="B121" s="7" t="s">
        <v>212</v>
      </c>
      <c r="C121" s="8">
        <v>2000000</v>
      </c>
    </row>
    <row r="122" spans="1:3" x14ac:dyDescent="0.25">
      <c r="A122" s="3" t="s">
        <v>213</v>
      </c>
      <c r="B122" s="7" t="s">
        <v>214</v>
      </c>
      <c r="C122" s="8">
        <v>1000000</v>
      </c>
    </row>
    <row r="123" spans="1:3" x14ac:dyDescent="0.25">
      <c r="A123" s="3" t="s">
        <v>215</v>
      </c>
      <c r="B123" s="7" t="s">
        <v>216</v>
      </c>
      <c r="C123" s="8">
        <v>0</v>
      </c>
    </row>
    <row r="124" spans="1:3" x14ac:dyDescent="0.25">
      <c r="A124" s="3" t="s">
        <v>217</v>
      </c>
      <c r="B124" s="7" t="s">
        <v>218</v>
      </c>
      <c r="C124" s="8">
        <v>1000000</v>
      </c>
    </row>
    <row r="125" spans="1:3" x14ac:dyDescent="0.25">
      <c r="A125" s="3" t="s">
        <v>219</v>
      </c>
      <c r="B125" s="7" t="s">
        <v>220</v>
      </c>
      <c r="C125" s="8">
        <v>0</v>
      </c>
    </row>
    <row r="126" spans="1:3" x14ac:dyDescent="0.25">
      <c r="A126" s="3" t="s">
        <v>221</v>
      </c>
      <c r="B126" s="7" t="s">
        <v>222</v>
      </c>
      <c r="C126" s="8">
        <v>0</v>
      </c>
    </row>
    <row r="127" spans="1:3" x14ac:dyDescent="0.25">
      <c r="A127" s="22"/>
      <c r="B127" s="17" t="s">
        <v>229</v>
      </c>
      <c r="C127" s="18">
        <f>C113-C120</f>
        <v>1500000</v>
      </c>
    </row>
    <row r="128" spans="1:3" x14ac:dyDescent="0.25">
      <c r="A128" s="14" t="s">
        <v>223</v>
      </c>
      <c r="B128" s="15" t="s">
        <v>224</v>
      </c>
      <c r="C128" s="13">
        <f>SUM(C129:C130)</f>
        <v>-2000000</v>
      </c>
    </row>
    <row r="129" spans="1:3" x14ac:dyDescent="0.25">
      <c r="A129" s="3" t="s">
        <v>225</v>
      </c>
      <c r="B129" s="7" t="s">
        <v>226</v>
      </c>
      <c r="C129" s="8">
        <v>-2000000</v>
      </c>
    </row>
    <row r="130" spans="1:3" x14ac:dyDescent="0.25">
      <c r="A130" s="3" t="s">
        <v>227</v>
      </c>
      <c r="B130" s="7" t="s">
        <v>228</v>
      </c>
      <c r="C130" s="8"/>
    </row>
    <row r="131" spans="1:3" x14ac:dyDescent="0.25">
      <c r="A131" s="3"/>
      <c r="B131" s="7"/>
      <c r="C131" s="8"/>
    </row>
    <row r="132" spans="1:3" x14ac:dyDescent="0.25">
      <c r="A132" s="23"/>
      <c r="B132" s="24" t="s">
        <v>230</v>
      </c>
      <c r="C132" s="25">
        <f>C109-C127+C128</f>
        <v>322400000</v>
      </c>
    </row>
  </sheetData>
  <mergeCells count="4">
    <mergeCell ref="A5:B5"/>
    <mergeCell ref="A1:C1"/>
    <mergeCell ref="A2:C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6C41-D616-41FD-A15D-50ED95BC1873}">
  <dimension ref="A1:D122"/>
  <sheetViews>
    <sheetView tabSelected="1" workbookViewId="0">
      <selection activeCell="B12" sqref="B12"/>
    </sheetView>
  </sheetViews>
  <sheetFormatPr defaultRowHeight="15" x14ac:dyDescent="0.25"/>
  <cols>
    <col min="1" max="1" width="9.140625" customWidth="1"/>
    <col min="2" max="2" width="44.85546875" customWidth="1"/>
    <col min="3" max="3" width="20.28515625" style="1" customWidth="1"/>
    <col min="4" max="4" width="15" bestFit="1" customWidth="1"/>
  </cols>
  <sheetData>
    <row r="1" spans="1:3" ht="23.25" x14ac:dyDescent="0.35">
      <c r="A1" s="26" t="s">
        <v>231</v>
      </c>
      <c r="B1" s="26"/>
      <c r="C1" s="26"/>
    </row>
    <row r="2" spans="1:3" ht="23.25" x14ac:dyDescent="0.35">
      <c r="A2" s="26" t="s">
        <v>461</v>
      </c>
      <c r="B2" s="26"/>
      <c r="C2" s="26"/>
    </row>
    <row r="3" spans="1:3" ht="23.25" x14ac:dyDescent="0.35">
      <c r="A3" s="26" t="s">
        <v>462</v>
      </c>
      <c r="B3" s="26"/>
      <c r="C3" s="26"/>
    </row>
    <row r="4" spans="1:3" ht="15.75" thickBot="1" x14ac:dyDescent="0.3">
      <c r="A4" s="45" t="s">
        <v>2</v>
      </c>
      <c r="B4" s="45"/>
      <c r="C4" s="46" t="s">
        <v>463</v>
      </c>
    </row>
    <row r="5" spans="1:3" ht="15.75" thickTop="1" x14ac:dyDescent="0.25">
      <c r="A5" s="27" t="s">
        <v>232</v>
      </c>
      <c r="B5" s="28" t="s">
        <v>233</v>
      </c>
      <c r="C5" s="29">
        <f>C6+C53+C68</f>
        <v>5948000000</v>
      </c>
    </row>
    <row r="6" spans="1:3" x14ac:dyDescent="0.25">
      <c r="A6" s="30" t="s">
        <v>234</v>
      </c>
      <c r="B6" s="31" t="s">
        <v>235</v>
      </c>
      <c r="C6" s="32">
        <f>C7+C20+C26+C31+C34+C38+C44+C51</f>
        <v>4684000000</v>
      </c>
    </row>
    <row r="7" spans="1:3" x14ac:dyDescent="0.25">
      <c r="A7" s="11" t="s">
        <v>236</v>
      </c>
      <c r="B7" s="12" t="s">
        <v>237</v>
      </c>
      <c r="C7" s="13">
        <f>C8+C12+C18</f>
        <v>3060000000</v>
      </c>
    </row>
    <row r="8" spans="1:3" x14ac:dyDescent="0.25">
      <c r="A8" s="4" t="s">
        <v>238</v>
      </c>
      <c r="B8" s="5" t="s">
        <v>239</v>
      </c>
      <c r="C8" s="6">
        <f>SUM(C9:C11)</f>
        <v>360000000</v>
      </c>
    </row>
    <row r="9" spans="1:3" x14ac:dyDescent="0.25">
      <c r="A9" s="3" t="s">
        <v>240</v>
      </c>
      <c r="B9" s="7" t="s">
        <v>241</v>
      </c>
      <c r="C9" s="8">
        <v>300000000</v>
      </c>
    </row>
    <row r="10" spans="1:3" x14ac:dyDescent="0.25">
      <c r="A10" s="3" t="s">
        <v>242</v>
      </c>
      <c r="B10" s="7" t="s">
        <v>243</v>
      </c>
      <c r="C10" s="8">
        <v>20000000</v>
      </c>
    </row>
    <row r="11" spans="1:3" x14ac:dyDescent="0.25">
      <c r="A11" s="3" t="s">
        <v>244</v>
      </c>
      <c r="B11" s="7" t="s">
        <v>245</v>
      </c>
      <c r="C11" s="8">
        <v>40000000</v>
      </c>
    </row>
    <row r="12" spans="1:3" x14ac:dyDescent="0.25">
      <c r="A12" s="4" t="s">
        <v>246</v>
      </c>
      <c r="B12" s="5" t="s">
        <v>247</v>
      </c>
      <c r="C12" s="6">
        <f>SUM(C13:C17)</f>
        <v>2200000000</v>
      </c>
    </row>
    <row r="13" spans="1:3" x14ac:dyDescent="0.25">
      <c r="A13" s="3" t="s">
        <v>248</v>
      </c>
      <c r="B13" s="7" t="s">
        <v>249</v>
      </c>
      <c r="C13" s="8">
        <v>750000000</v>
      </c>
    </row>
    <row r="14" spans="1:3" x14ac:dyDescent="0.25">
      <c r="A14" s="3" t="s">
        <v>250</v>
      </c>
      <c r="B14" s="7" t="s">
        <v>251</v>
      </c>
      <c r="C14" s="8">
        <v>500000000</v>
      </c>
    </row>
    <row r="15" spans="1:3" x14ac:dyDescent="0.25">
      <c r="A15" s="3" t="s">
        <v>252</v>
      </c>
      <c r="B15" s="7" t="s">
        <v>253</v>
      </c>
      <c r="C15" s="8">
        <v>350000000</v>
      </c>
    </row>
    <row r="16" spans="1:3" x14ac:dyDescent="0.25">
      <c r="A16" s="3" t="s">
        <v>254</v>
      </c>
      <c r="B16" s="7" t="s">
        <v>255</v>
      </c>
      <c r="C16" s="8">
        <v>400000000</v>
      </c>
    </row>
    <row r="17" spans="1:3" x14ac:dyDescent="0.25">
      <c r="A17" s="3" t="s">
        <v>256</v>
      </c>
      <c r="B17" s="7" t="s">
        <v>257</v>
      </c>
      <c r="C17" s="8">
        <v>200000000</v>
      </c>
    </row>
    <row r="18" spans="1:3" x14ac:dyDescent="0.25">
      <c r="A18" s="4" t="s">
        <v>258</v>
      </c>
      <c r="B18" s="5" t="s">
        <v>259</v>
      </c>
      <c r="C18" s="6">
        <f>SUM(C19)</f>
        <v>500000000</v>
      </c>
    </row>
    <row r="19" spans="1:3" x14ac:dyDescent="0.25">
      <c r="A19" s="3" t="s">
        <v>260</v>
      </c>
      <c r="B19" s="7" t="s">
        <v>261</v>
      </c>
      <c r="C19" s="8">
        <v>500000000</v>
      </c>
    </row>
    <row r="20" spans="1:3" x14ac:dyDescent="0.25">
      <c r="A20" s="11" t="s">
        <v>262</v>
      </c>
      <c r="B20" s="12" t="s">
        <v>263</v>
      </c>
      <c r="C20" s="13">
        <f>C21+C25</f>
        <v>80000000</v>
      </c>
    </row>
    <row r="21" spans="1:3" x14ac:dyDescent="0.25">
      <c r="A21" s="4" t="s">
        <v>264</v>
      </c>
      <c r="B21" s="5" t="s">
        <v>265</v>
      </c>
      <c r="C21" s="6">
        <f>SUM(C22:C24)</f>
        <v>60000000</v>
      </c>
    </row>
    <row r="22" spans="1:3" x14ac:dyDescent="0.25">
      <c r="A22" s="3" t="s">
        <v>266</v>
      </c>
      <c r="B22" s="7" t="s">
        <v>267</v>
      </c>
      <c r="C22" s="8">
        <f>20000000</f>
        <v>20000000</v>
      </c>
    </row>
    <row r="23" spans="1:3" x14ac:dyDescent="0.25">
      <c r="A23" s="3" t="s">
        <v>268</v>
      </c>
      <c r="B23" s="7" t="s">
        <v>269</v>
      </c>
      <c r="C23" s="8">
        <v>30000000</v>
      </c>
    </row>
    <row r="24" spans="1:3" x14ac:dyDescent="0.25">
      <c r="A24" s="3" t="s">
        <v>270</v>
      </c>
      <c r="B24" s="7" t="s">
        <v>271</v>
      </c>
      <c r="C24" s="8">
        <v>10000000</v>
      </c>
    </row>
    <row r="25" spans="1:3" x14ac:dyDescent="0.25">
      <c r="A25" s="4" t="s">
        <v>272</v>
      </c>
      <c r="B25" s="5" t="s">
        <v>273</v>
      </c>
      <c r="C25" s="6">
        <v>20000000</v>
      </c>
    </row>
    <row r="26" spans="1:3" x14ac:dyDescent="0.25">
      <c r="A26" s="11" t="s">
        <v>274</v>
      </c>
      <c r="B26" s="12" t="s">
        <v>275</v>
      </c>
      <c r="C26" s="13">
        <f>SUM(C27:C30)</f>
        <v>170000000</v>
      </c>
    </row>
    <row r="27" spans="1:3" x14ac:dyDescent="0.25">
      <c r="A27" s="3" t="s">
        <v>276</v>
      </c>
      <c r="B27" s="7" t="s">
        <v>277</v>
      </c>
      <c r="C27" s="8">
        <v>30000000</v>
      </c>
    </row>
    <row r="28" spans="1:3" x14ac:dyDescent="0.25">
      <c r="A28" s="3" t="s">
        <v>278</v>
      </c>
      <c r="B28" s="7" t="s">
        <v>279</v>
      </c>
      <c r="C28" s="8">
        <v>10000000</v>
      </c>
    </row>
    <row r="29" spans="1:3" x14ac:dyDescent="0.25">
      <c r="A29" s="3" t="s">
        <v>280</v>
      </c>
      <c r="B29" s="7" t="s">
        <v>281</v>
      </c>
      <c r="C29" s="8">
        <v>100000000</v>
      </c>
    </row>
    <row r="30" spans="1:3" x14ac:dyDescent="0.25">
      <c r="A30" s="3" t="s">
        <v>282</v>
      </c>
      <c r="B30" s="7" t="s">
        <v>275</v>
      </c>
      <c r="C30" s="8">
        <v>30000000</v>
      </c>
    </row>
    <row r="31" spans="1:3" x14ac:dyDescent="0.25">
      <c r="A31" s="11" t="s">
        <v>283</v>
      </c>
      <c r="B31" s="12" t="s">
        <v>284</v>
      </c>
      <c r="C31" s="13">
        <f>SUM(C32:C33)</f>
        <v>900000000</v>
      </c>
    </row>
    <row r="32" spans="1:3" x14ac:dyDescent="0.25">
      <c r="A32" s="3" t="s">
        <v>285</v>
      </c>
      <c r="B32" s="7" t="s">
        <v>286</v>
      </c>
      <c r="C32" s="8">
        <v>500000000</v>
      </c>
    </row>
    <row r="33" spans="1:3" x14ac:dyDescent="0.25">
      <c r="A33" s="3" t="s">
        <v>287</v>
      </c>
      <c r="B33" s="7" t="s">
        <v>288</v>
      </c>
      <c r="C33" s="8">
        <v>400000000</v>
      </c>
    </row>
    <row r="34" spans="1:3" x14ac:dyDescent="0.25">
      <c r="A34" s="11" t="s">
        <v>289</v>
      </c>
      <c r="B34" s="12" t="s">
        <v>290</v>
      </c>
      <c r="C34" s="13">
        <f>SUM(C35:C37)</f>
        <v>90000000</v>
      </c>
    </row>
    <row r="35" spans="1:3" x14ac:dyDescent="0.25">
      <c r="A35" s="3" t="s">
        <v>291</v>
      </c>
      <c r="B35" s="7" t="s">
        <v>292</v>
      </c>
      <c r="C35" s="8">
        <v>30000000</v>
      </c>
    </row>
    <row r="36" spans="1:3" x14ac:dyDescent="0.25">
      <c r="A36" s="3" t="s">
        <v>293</v>
      </c>
      <c r="B36" s="7" t="s">
        <v>294</v>
      </c>
      <c r="C36" s="8">
        <v>40000000</v>
      </c>
    </row>
    <row r="37" spans="1:3" x14ac:dyDescent="0.25">
      <c r="A37" s="3" t="s">
        <v>295</v>
      </c>
      <c r="B37" s="7" t="s">
        <v>296</v>
      </c>
      <c r="C37" s="8">
        <v>20000000</v>
      </c>
    </row>
    <row r="38" spans="1:3" x14ac:dyDescent="0.25">
      <c r="A38" s="11" t="s">
        <v>297</v>
      </c>
      <c r="B38" s="12" t="s">
        <v>298</v>
      </c>
      <c r="C38" s="13">
        <f>SUM(C39:C43)</f>
        <v>71000000</v>
      </c>
    </row>
    <row r="39" spans="1:3" x14ac:dyDescent="0.25">
      <c r="A39" s="3" t="s">
        <v>299</v>
      </c>
      <c r="B39" s="7" t="s">
        <v>300</v>
      </c>
      <c r="C39" s="8">
        <v>54000000</v>
      </c>
    </row>
    <row r="40" spans="1:3" x14ac:dyDescent="0.25">
      <c r="A40" s="3" t="s">
        <v>301</v>
      </c>
      <c r="B40" s="7" t="s">
        <v>302</v>
      </c>
      <c r="C40" s="8">
        <v>3000000</v>
      </c>
    </row>
    <row r="41" spans="1:3" x14ac:dyDescent="0.25">
      <c r="A41" s="3" t="s">
        <v>303</v>
      </c>
      <c r="B41" s="7" t="s">
        <v>304</v>
      </c>
      <c r="C41" s="8">
        <v>5000000</v>
      </c>
    </row>
    <row r="42" spans="1:3" x14ac:dyDescent="0.25">
      <c r="A42" s="3" t="s">
        <v>305</v>
      </c>
      <c r="B42" s="7" t="s">
        <v>306</v>
      </c>
      <c r="C42" s="8">
        <v>4000000</v>
      </c>
    </row>
    <row r="43" spans="1:3" x14ac:dyDescent="0.25">
      <c r="A43" s="3" t="s">
        <v>307</v>
      </c>
      <c r="B43" s="7" t="s">
        <v>308</v>
      </c>
      <c r="C43" s="8">
        <v>5000000</v>
      </c>
    </row>
    <row r="44" spans="1:3" x14ac:dyDescent="0.25">
      <c r="A44" s="11" t="s">
        <v>309</v>
      </c>
      <c r="B44" s="12" t="s">
        <v>310</v>
      </c>
      <c r="C44" s="13">
        <f>SUM(C45:C50)</f>
        <v>310000000</v>
      </c>
    </row>
    <row r="45" spans="1:3" x14ac:dyDescent="0.25">
      <c r="A45" s="3" t="s">
        <v>311</v>
      </c>
      <c r="B45" s="7" t="s">
        <v>312</v>
      </c>
      <c r="C45" s="8">
        <v>0</v>
      </c>
    </row>
    <row r="46" spans="1:3" x14ac:dyDescent="0.25">
      <c r="A46" s="3" t="s">
        <v>313</v>
      </c>
      <c r="B46" s="7" t="s">
        <v>314</v>
      </c>
      <c r="C46" s="8">
        <v>70000000</v>
      </c>
    </row>
    <row r="47" spans="1:3" x14ac:dyDescent="0.25">
      <c r="A47" s="3" t="s">
        <v>315</v>
      </c>
      <c r="B47" s="7" t="s">
        <v>316</v>
      </c>
      <c r="C47" s="8">
        <v>20000000</v>
      </c>
    </row>
    <row r="48" spans="1:3" x14ac:dyDescent="0.25">
      <c r="A48" s="3" t="s">
        <v>317</v>
      </c>
      <c r="B48" s="7" t="s">
        <v>318</v>
      </c>
      <c r="C48" s="8">
        <v>30000000</v>
      </c>
    </row>
    <row r="49" spans="1:3" x14ac:dyDescent="0.25">
      <c r="A49" s="3" t="s">
        <v>319</v>
      </c>
      <c r="B49" s="7" t="s">
        <v>320</v>
      </c>
      <c r="C49" s="8">
        <v>50000000</v>
      </c>
    </row>
    <row r="50" spans="1:3" x14ac:dyDescent="0.25">
      <c r="A50" s="3" t="s">
        <v>321</v>
      </c>
      <c r="B50" s="7" t="s">
        <v>322</v>
      </c>
      <c r="C50" s="8">
        <v>140000000</v>
      </c>
    </row>
    <row r="51" spans="1:3" x14ac:dyDescent="0.25">
      <c r="A51" s="11" t="s">
        <v>323</v>
      </c>
      <c r="B51" s="12" t="s">
        <v>324</v>
      </c>
      <c r="C51" s="13">
        <f>SUM(C52)</f>
        <v>3000000</v>
      </c>
    </row>
    <row r="52" spans="1:3" x14ac:dyDescent="0.25">
      <c r="A52" s="3" t="s">
        <v>325</v>
      </c>
      <c r="B52" s="7" t="s">
        <v>326</v>
      </c>
      <c r="C52" s="8">
        <v>3000000</v>
      </c>
    </row>
    <row r="53" spans="1:3" x14ac:dyDescent="0.25">
      <c r="A53" s="30" t="s">
        <v>327</v>
      </c>
      <c r="B53" s="31" t="s">
        <v>328</v>
      </c>
      <c r="C53" s="32">
        <f>C54+C60</f>
        <v>1258000000</v>
      </c>
    </row>
    <row r="54" spans="1:3" x14ac:dyDescent="0.25">
      <c r="A54" s="11" t="s">
        <v>329</v>
      </c>
      <c r="B54" s="12" t="s">
        <v>330</v>
      </c>
      <c r="C54" s="13">
        <f>SUM(C55:C59)</f>
        <v>1528000000</v>
      </c>
    </row>
    <row r="55" spans="1:3" x14ac:dyDescent="0.25">
      <c r="A55" s="3" t="s">
        <v>331</v>
      </c>
      <c r="B55" s="7" t="s">
        <v>332</v>
      </c>
      <c r="C55" s="8">
        <v>200000000</v>
      </c>
    </row>
    <row r="56" spans="1:3" x14ac:dyDescent="0.25">
      <c r="A56" s="3" t="s">
        <v>333</v>
      </c>
      <c r="B56" s="7" t="s">
        <v>334</v>
      </c>
      <c r="C56" s="8">
        <v>28000000</v>
      </c>
    </row>
    <row r="57" spans="1:3" x14ac:dyDescent="0.25">
      <c r="A57" s="3" t="s">
        <v>335</v>
      </c>
      <c r="B57" s="7" t="s">
        <v>336</v>
      </c>
      <c r="C57" s="8">
        <v>100000000</v>
      </c>
    </row>
    <row r="58" spans="1:3" x14ac:dyDescent="0.25">
      <c r="A58" s="3" t="s">
        <v>337</v>
      </c>
      <c r="B58" s="7" t="s">
        <v>338</v>
      </c>
      <c r="C58" s="8">
        <v>200000000</v>
      </c>
    </row>
    <row r="59" spans="1:3" x14ac:dyDescent="0.25">
      <c r="A59" s="3" t="s">
        <v>339</v>
      </c>
      <c r="B59" s="7" t="s">
        <v>340</v>
      </c>
      <c r="C59" s="8">
        <v>1000000000</v>
      </c>
    </row>
    <row r="60" spans="1:3" x14ac:dyDescent="0.25">
      <c r="A60" s="11" t="s">
        <v>341</v>
      </c>
      <c r="B60" s="12" t="s">
        <v>342</v>
      </c>
      <c r="C60" s="13">
        <f>SUM(C61:C64)</f>
        <v>-270000000</v>
      </c>
    </row>
    <row r="61" spans="1:3" x14ac:dyDescent="0.25">
      <c r="A61" s="3" t="s">
        <v>343</v>
      </c>
      <c r="B61" s="7" t="s">
        <v>344</v>
      </c>
      <c r="C61" s="8">
        <v>-100000000</v>
      </c>
    </row>
    <row r="62" spans="1:3" x14ac:dyDescent="0.25">
      <c r="A62" s="3" t="s">
        <v>345</v>
      </c>
      <c r="B62" s="7" t="s">
        <v>346</v>
      </c>
      <c r="C62" s="8">
        <v>-80000000</v>
      </c>
    </row>
    <row r="63" spans="1:3" x14ac:dyDescent="0.25">
      <c r="A63" s="3" t="s">
        <v>347</v>
      </c>
      <c r="B63" s="7" t="s">
        <v>348</v>
      </c>
      <c r="C63" s="8">
        <v>-50000000</v>
      </c>
    </row>
    <row r="64" spans="1:3" x14ac:dyDescent="0.25">
      <c r="A64" s="3" t="s">
        <v>349</v>
      </c>
      <c r="B64" s="7" t="s">
        <v>350</v>
      </c>
      <c r="C64" s="8">
        <v>-40000000</v>
      </c>
    </row>
    <row r="65" spans="1:3" x14ac:dyDescent="0.25">
      <c r="A65" s="11" t="s">
        <v>351</v>
      </c>
      <c r="B65" s="12" t="s">
        <v>352</v>
      </c>
      <c r="C65" s="13">
        <v>30000000</v>
      </c>
    </row>
    <row r="66" spans="1:3" x14ac:dyDescent="0.25">
      <c r="A66" s="11" t="s">
        <v>353</v>
      </c>
      <c r="B66" s="12" t="s">
        <v>354</v>
      </c>
      <c r="C66" s="13">
        <v>100000000</v>
      </c>
    </row>
    <row r="67" spans="1:3" x14ac:dyDescent="0.25">
      <c r="A67" s="11" t="s">
        <v>355</v>
      </c>
      <c r="B67" s="12" t="s">
        <v>356</v>
      </c>
      <c r="C67" s="13">
        <v>5000000</v>
      </c>
    </row>
    <row r="68" spans="1:3" x14ac:dyDescent="0.25">
      <c r="A68" s="30" t="s">
        <v>357</v>
      </c>
      <c r="B68" s="31" t="s">
        <v>358</v>
      </c>
      <c r="C68" s="32">
        <f>SUM(C69:C71)</f>
        <v>6000000</v>
      </c>
    </row>
    <row r="69" spans="1:3" x14ac:dyDescent="0.25">
      <c r="A69" s="3" t="s">
        <v>359</v>
      </c>
      <c r="B69" s="7" t="s">
        <v>360</v>
      </c>
      <c r="C69" s="8">
        <v>3000000</v>
      </c>
    </row>
    <row r="70" spans="1:3" x14ac:dyDescent="0.25">
      <c r="A70" s="3" t="s">
        <v>361</v>
      </c>
      <c r="B70" s="7" t="s">
        <v>362</v>
      </c>
      <c r="C70" s="8">
        <v>2000000</v>
      </c>
    </row>
    <row r="71" spans="1:3" x14ac:dyDescent="0.25">
      <c r="A71" s="3" t="s">
        <v>363</v>
      </c>
      <c r="B71" s="7" t="s">
        <v>364</v>
      </c>
      <c r="C71" s="8">
        <v>1000000</v>
      </c>
    </row>
    <row r="72" spans="1:3" x14ac:dyDescent="0.25">
      <c r="A72" s="43"/>
      <c r="B72" s="41" t="s">
        <v>459</v>
      </c>
      <c r="C72" s="42">
        <f>C5</f>
        <v>5948000000</v>
      </c>
    </row>
    <row r="73" spans="1:3" x14ac:dyDescent="0.25">
      <c r="A73" s="9"/>
      <c r="B73" s="9"/>
      <c r="C73" s="8"/>
    </row>
    <row r="74" spans="1:3" x14ac:dyDescent="0.25">
      <c r="A74" s="34" t="s">
        <v>365</v>
      </c>
      <c r="B74" s="20" t="s">
        <v>366</v>
      </c>
      <c r="C74" s="21">
        <f>C75+C112</f>
        <v>2730000000</v>
      </c>
    </row>
    <row r="75" spans="1:3" x14ac:dyDescent="0.25">
      <c r="A75" s="35" t="s">
        <v>367</v>
      </c>
      <c r="B75" s="36" t="s">
        <v>368</v>
      </c>
      <c r="C75" s="37">
        <f>C76+C77+C84+C85+C86+C87+C92</f>
        <v>2690000000</v>
      </c>
    </row>
    <row r="76" spans="1:3" x14ac:dyDescent="0.25">
      <c r="A76" s="38" t="s">
        <v>369</v>
      </c>
      <c r="B76" s="39" t="s">
        <v>370</v>
      </c>
      <c r="C76" s="40">
        <v>300000000</v>
      </c>
    </row>
    <row r="77" spans="1:3" x14ac:dyDescent="0.25">
      <c r="A77" s="38" t="s">
        <v>371</v>
      </c>
      <c r="B77" s="39" t="s">
        <v>372</v>
      </c>
      <c r="C77" s="40">
        <f>SUM(C78:C83)</f>
        <v>275000000</v>
      </c>
    </row>
    <row r="78" spans="1:3" x14ac:dyDescent="0.25">
      <c r="A78" s="3" t="s">
        <v>373</v>
      </c>
      <c r="B78" s="7" t="s">
        <v>374</v>
      </c>
      <c r="C78" s="8">
        <v>30000000</v>
      </c>
    </row>
    <row r="79" spans="1:3" x14ac:dyDescent="0.25">
      <c r="A79" s="3" t="s">
        <v>375</v>
      </c>
      <c r="B79" s="7" t="s">
        <v>376</v>
      </c>
      <c r="C79" s="8">
        <v>5000000</v>
      </c>
    </row>
    <row r="80" spans="1:3" x14ac:dyDescent="0.25">
      <c r="A80" s="3" t="s">
        <v>377</v>
      </c>
      <c r="B80" s="7" t="s">
        <v>378</v>
      </c>
      <c r="C80" s="8">
        <v>10000000</v>
      </c>
    </row>
    <row r="81" spans="1:3" x14ac:dyDescent="0.25">
      <c r="A81" s="3" t="s">
        <v>379</v>
      </c>
      <c r="B81" s="7" t="s">
        <v>380</v>
      </c>
      <c r="C81" s="8">
        <v>50000000</v>
      </c>
    </row>
    <row r="82" spans="1:3" x14ac:dyDescent="0.25">
      <c r="A82" s="3" t="s">
        <v>381</v>
      </c>
      <c r="B82" s="7" t="s">
        <v>382</v>
      </c>
      <c r="C82" s="8">
        <v>30000000</v>
      </c>
    </row>
    <row r="83" spans="1:3" x14ac:dyDescent="0.25">
      <c r="A83" s="3" t="s">
        <v>383</v>
      </c>
      <c r="B83" s="7" t="s">
        <v>384</v>
      </c>
      <c r="C83" s="8">
        <v>150000000</v>
      </c>
    </row>
    <row r="84" spans="1:3" x14ac:dyDescent="0.25">
      <c r="A84" s="38" t="s">
        <v>385</v>
      </c>
      <c r="B84" s="39" t="s">
        <v>386</v>
      </c>
      <c r="C84" s="40">
        <v>70000000</v>
      </c>
    </row>
    <row r="85" spans="1:3" x14ac:dyDescent="0.25">
      <c r="A85" s="38" t="s">
        <v>387</v>
      </c>
      <c r="B85" s="39" t="s">
        <v>388</v>
      </c>
      <c r="C85" s="40">
        <v>500000000</v>
      </c>
    </row>
    <row r="86" spans="1:3" x14ac:dyDescent="0.25">
      <c r="A86" s="38" t="s">
        <v>389</v>
      </c>
      <c r="B86" s="39" t="s">
        <v>390</v>
      </c>
      <c r="C86" s="40">
        <v>100000000</v>
      </c>
    </row>
    <row r="87" spans="1:3" x14ac:dyDescent="0.25">
      <c r="A87" s="38" t="s">
        <v>391</v>
      </c>
      <c r="B87" s="39" t="s">
        <v>392</v>
      </c>
      <c r="C87" s="40">
        <f>SUM(C88:C91)</f>
        <v>520000000</v>
      </c>
    </row>
    <row r="88" spans="1:3" x14ac:dyDescent="0.25">
      <c r="A88" s="3" t="s">
        <v>393</v>
      </c>
      <c r="B88" s="7" t="s">
        <v>394</v>
      </c>
      <c r="C88" s="8">
        <v>0</v>
      </c>
    </row>
    <row r="89" spans="1:3" x14ac:dyDescent="0.25">
      <c r="A89" s="3" t="s">
        <v>395</v>
      </c>
      <c r="B89" s="7" t="s">
        <v>396</v>
      </c>
      <c r="C89" s="8">
        <v>20000000</v>
      </c>
    </row>
    <row r="90" spans="1:3" x14ac:dyDescent="0.25">
      <c r="A90" s="3" t="s">
        <v>397</v>
      </c>
      <c r="B90" s="7" t="s">
        <v>398</v>
      </c>
      <c r="C90" s="8">
        <v>500000000</v>
      </c>
    </row>
    <row r="91" spans="1:3" x14ac:dyDescent="0.25">
      <c r="A91" s="3" t="s">
        <v>399</v>
      </c>
      <c r="B91" s="7" t="s">
        <v>400</v>
      </c>
      <c r="C91" s="8">
        <v>0</v>
      </c>
    </row>
    <row r="92" spans="1:3" x14ac:dyDescent="0.25">
      <c r="A92" s="38" t="s">
        <v>401</v>
      </c>
      <c r="B92" s="39" t="s">
        <v>402</v>
      </c>
      <c r="C92" s="40">
        <f>SUM(C93:C111)</f>
        <v>925000000</v>
      </c>
    </row>
    <row r="93" spans="1:3" x14ac:dyDescent="0.25">
      <c r="A93" s="3" t="s">
        <v>403</v>
      </c>
      <c r="B93" s="7" t="s">
        <v>404</v>
      </c>
      <c r="C93" s="8">
        <v>3000000</v>
      </c>
    </row>
    <row r="94" spans="1:3" x14ac:dyDescent="0.25">
      <c r="A94" s="3" t="s">
        <v>405</v>
      </c>
      <c r="B94" s="7" t="s">
        <v>406</v>
      </c>
      <c r="C94" s="8">
        <v>4000000</v>
      </c>
    </row>
    <row r="95" spans="1:3" x14ac:dyDescent="0.25">
      <c r="A95" s="3" t="s">
        <v>407</v>
      </c>
      <c r="B95" s="7" t="s">
        <v>408</v>
      </c>
      <c r="C95" s="8">
        <v>4000000</v>
      </c>
    </row>
    <row r="96" spans="1:3" x14ac:dyDescent="0.25">
      <c r="A96" s="3" t="s">
        <v>409</v>
      </c>
      <c r="B96" s="7" t="s">
        <v>410</v>
      </c>
      <c r="C96" s="8">
        <v>5000000</v>
      </c>
    </row>
    <row r="97" spans="1:3" x14ac:dyDescent="0.25">
      <c r="A97" s="3" t="s">
        <v>411</v>
      </c>
      <c r="B97" s="7" t="s">
        <v>412</v>
      </c>
      <c r="C97" s="8">
        <v>100000000</v>
      </c>
    </row>
    <row r="98" spans="1:3" x14ac:dyDescent="0.25">
      <c r="A98" s="3" t="s">
        <v>413</v>
      </c>
      <c r="B98" s="7" t="s">
        <v>414</v>
      </c>
      <c r="C98" s="8">
        <v>5000000</v>
      </c>
    </row>
    <row r="99" spans="1:3" x14ac:dyDescent="0.25">
      <c r="A99" s="3" t="s">
        <v>415</v>
      </c>
      <c r="B99" s="7" t="s">
        <v>416</v>
      </c>
      <c r="C99" s="8">
        <v>300000000</v>
      </c>
    </row>
    <row r="100" spans="1:3" x14ac:dyDescent="0.25">
      <c r="A100" s="3" t="s">
        <v>417</v>
      </c>
      <c r="B100" s="7" t="s">
        <v>418</v>
      </c>
      <c r="C100" s="8">
        <v>300000000</v>
      </c>
    </row>
    <row r="101" spans="1:3" x14ac:dyDescent="0.25">
      <c r="A101" s="3" t="s">
        <v>419</v>
      </c>
      <c r="B101" s="7" t="s">
        <v>420</v>
      </c>
      <c r="C101" s="8">
        <v>20000000</v>
      </c>
    </row>
    <row r="102" spans="1:3" x14ac:dyDescent="0.25">
      <c r="A102" s="3" t="s">
        <v>421</v>
      </c>
      <c r="B102" s="7" t="s">
        <v>422</v>
      </c>
      <c r="C102" s="8">
        <v>30000000</v>
      </c>
    </row>
    <row r="103" spans="1:3" x14ac:dyDescent="0.25">
      <c r="A103" s="3" t="s">
        <v>423</v>
      </c>
      <c r="B103" s="7" t="s">
        <v>424</v>
      </c>
      <c r="C103" s="8">
        <v>20000000</v>
      </c>
    </row>
    <row r="104" spans="1:3" x14ac:dyDescent="0.25">
      <c r="A104" s="3" t="s">
        <v>425</v>
      </c>
      <c r="B104" s="7" t="s">
        <v>426</v>
      </c>
      <c r="C104" s="8">
        <v>10000000</v>
      </c>
    </row>
    <row r="105" spans="1:3" x14ac:dyDescent="0.25">
      <c r="A105" s="3" t="s">
        <v>427</v>
      </c>
      <c r="B105" s="7" t="s">
        <v>428</v>
      </c>
      <c r="C105" s="8">
        <v>50000000</v>
      </c>
    </row>
    <row r="106" spans="1:3" x14ac:dyDescent="0.25">
      <c r="A106" s="3" t="s">
        <v>429</v>
      </c>
      <c r="B106" s="7" t="s">
        <v>430</v>
      </c>
      <c r="C106" s="8">
        <v>60000000</v>
      </c>
    </row>
    <row r="107" spans="1:3" x14ac:dyDescent="0.25">
      <c r="A107" s="3" t="s">
        <v>431</v>
      </c>
      <c r="B107" s="7" t="s">
        <v>432</v>
      </c>
      <c r="C107" s="8">
        <v>5000000</v>
      </c>
    </row>
    <row r="108" spans="1:3" x14ac:dyDescent="0.25">
      <c r="A108" s="3" t="s">
        <v>433</v>
      </c>
      <c r="B108" s="7" t="s">
        <v>434</v>
      </c>
      <c r="C108" s="8">
        <v>3000000</v>
      </c>
    </row>
    <row r="109" spans="1:3" x14ac:dyDescent="0.25">
      <c r="A109" s="3" t="s">
        <v>435</v>
      </c>
      <c r="B109" s="7" t="s">
        <v>436</v>
      </c>
      <c r="C109" s="8">
        <v>5000000</v>
      </c>
    </row>
    <row r="110" spans="1:3" x14ac:dyDescent="0.25">
      <c r="A110" s="3" t="s">
        <v>437</v>
      </c>
      <c r="B110" s="7" t="s">
        <v>438</v>
      </c>
      <c r="C110" s="8">
        <v>1000000</v>
      </c>
    </row>
    <row r="111" spans="1:3" x14ac:dyDescent="0.25">
      <c r="A111" s="3" t="s">
        <v>439</v>
      </c>
      <c r="B111" s="7" t="s">
        <v>440</v>
      </c>
      <c r="C111" s="8">
        <v>0</v>
      </c>
    </row>
    <row r="112" spans="1:3" x14ac:dyDescent="0.25">
      <c r="A112" s="35" t="s">
        <v>441</v>
      </c>
      <c r="B112" s="36" t="s">
        <v>442</v>
      </c>
      <c r="C112" s="37">
        <f>SUM(C113:C114)</f>
        <v>40000000</v>
      </c>
    </row>
    <row r="113" spans="1:4" x14ac:dyDescent="0.25">
      <c r="A113" s="3" t="s">
        <v>443</v>
      </c>
      <c r="B113" s="7" t="s">
        <v>444</v>
      </c>
      <c r="C113" s="8">
        <v>20000000</v>
      </c>
    </row>
    <row r="114" spans="1:4" x14ac:dyDescent="0.25">
      <c r="A114" s="3" t="s">
        <v>445</v>
      </c>
      <c r="B114" s="7" t="s">
        <v>446</v>
      </c>
      <c r="C114" s="8">
        <v>20000000</v>
      </c>
    </row>
    <row r="115" spans="1:4" x14ac:dyDescent="0.25">
      <c r="A115" s="3"/>
      <c r="B115" s="7"/>
      <c r="C115" s="8"/>
    </row>
    <row r="116" spans="1:4" x14ac:dyDescent="0.25">
      <c r="A116" s="34" t="s">
        <v>447</v>
      </c>
      <c r="B116" s="20" t="s">
        <v>448</v>
      </c>
      <c r="C116" s="21">
        <f>SUM(C117:C121)</f>
        <v>3218000000</v>
      </c>
    </row>
    <row r="117" spans="1:4" x14ac:dyDescent="0.25">
      <c r="A117" s="3" t="s">
        <v>449</v>
      </c>
      <c r="B117" s="7" t="s">
        <v>450</v>
      </c>
      <c r="C117" s="8">
        <v>500000000</v>
      </c>
    </row>
    <row r="118" spans="1:4" x14ac:dyDescent="0.25">
      <c r="A118" s="3" t="s">
        <v>451</v>
      </c>
      <c r="B118" s="7" t="s">
        <v>452</v>
      </c>
      <c r="C118" s="8">
        <v>0</v>
      </c>
    </row>
    <row r="119" spans="1:4" x14ac:dyDescent="0.25">
      <c r="A119" s="3" t="s">
        <v>453</v>
      </c>
      <c r="B119" s="7" t="s">
        <v>454</v>
      </c>
      <c r="C119" s="8">
        <v>-300000000</v>
      </c>
    </row>
    <row r="120" spans="1:4" x14ac:dyDescent="0.25">
      <c r="A120" s="3" t="s">
        <v>455</v>
      </c>
      <c r="B120" s="7" t="s">
        <v>456</v>
      </c>
      <c r="C120" s="8">
        <v>2695600000</v>
      </c>
    </row>
    <row r="121" spans="1:4" x14ac:dyDescent="0.25">
      <c r="A121" s="3" t="s">
        <v>457</v>
      </c>
      <c r="B121" s="7" t="s">
        <v>458</v>
      </c>
      <c r="C121" s="8">
        <v>322400000</v>
      </c>
    </row>
    <row r="122" spans="1:4" x14ac:dyDescent="0.25">
      <c r="A122" s="43"/>
      <c r="B122" s="44" t="s">
        <v>460</v>
      </c>
      <c r="C122" s="42">
        <f>C74+C116</f>
        <v>5948000000</v>
      </c>
      <c r="D122" s="33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Laba Rugi</vt:lpstr>
      <vt:lpstr>Neraca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2025-10-06T04:46:59Z</dcterms:created>
  <dcterms:modified xsi:type="dcterms:W3CDTF">2025-10-06T10:35:15Z</dcterms:modified>
</cp:coreProperties>
</file>